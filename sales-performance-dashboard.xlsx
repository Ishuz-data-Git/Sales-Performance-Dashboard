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Data" sheetId="1" r:id="rId5"/>
    <sheet state="visible" name="Pivot Table 6" sheetId="2" r:id="rId6"/>
    <sheet state="visible" name="Pivot Table 4" sheetId="3" r:id="rId7"/>
    <sheet state="visible" name="Pivot Table 1" sheetId="4" r:id="rId8"/>
    <sheet state="visible" name="Dashboard" sheetId="5" r:id="rId9"/>
  </sheets>
  <definedNames>
    <definedName hidden="1" localSheetId="0" name="Z_F952F8F9_F89A_42F2_8C6F_0FA0AD73EFA1_.wvu.FilterData">Sales_Data!$A$1:$H$1001</definedName>
    <definedName hidden="1" localSheetId="0" name="Z_F952F8F9_F89A_42F2_8C6F_0FA0AD73EFA1_.wvu.FilterData">Sales_Data!$A$1:$H$1001</definedName>
    <definedName name="SlicerCache_Table_1_Col_2">#N/A</definedName>
    <definedName name="SlicerCache_Table_1_Col_3">#N/A</definedName>
    <definedName name="SlicerCache_Table_1_Col_4">#N/A</definedName>
  </definedNames>
  <calcPr/>
  <customWorkbookViews>
    <customWorkbookView activeSheetId="0" maximized="1" windowHeight="0" windowWidth="0" guid="{F952F8F9-F89A-42F2-8C6F-0FA0AD73EFA1}" name="Filter 1"/>
  </customWorkbookViews>
  <pivotCaches>
    <pivotCache cacheId="0" r:id="rId10"/>
    <pivotCache cacheId="1" r:id="rId11"/>
  </pivotCaches>
  <extLst>
    <ext uri="{46BE6895-7355-4a93-B00E-2C351335B9C9}">
      <x15:slicerCaches>
        <x14:slicerCache r:id="rId12"/>
        <x14:slicerCache r:id="rId13"/>
        <x14:slicerCache r:id="rId14"/>
      </x15:slicerCaches>
    </ext>
  </extLst>
</workbook>
</file>

<file path=xl/sharedStrings.xml><?xml version="1.0" encoding="utf-8"?>
<sst xmlns="http://schemas.openxmlformats.org/spreadsheetml/2006/main" count="50" uniqueCount="44">
  <si>
    <t>Date</t>
  </si>
  <si>
    <t>Product</t>
  </si>
  <si>
    <t>Category</t>
  </si>
  <si>
    <t>Region</t>
  </si>
  <si>
    <t>Sales</t>
  </si>
  <si>
    <t>Profit</t>
  </si>
  <si>
    <t>Quantity</t>
  </si>
  <si>
    <t>Month</t>
  </si>
  <si>
    <t>Month_No</t>
  </si>
  <si>
    <t>SUM of Sales</t>
  </si>
  <si>
    <t>Laptop</t>
  </si>
  <si>
    <t>Chair</t>
  </si>
  <si>
    <t>Monitor</t>
  </si>
  <si>
    <t>Tablet</t>
  </si>
  <si>
    <t>Phone</t>
  </si>
  <si>
    <t>Table</t>
  </si>
  <si>
    <t>Grand Total</t>
  </si>
  <si>
    <t>Jan</t>
  </si>
  <si>
    <t>Feb</t>
  </si>
  <si>
    <t>Mar</t>
  </si>
  <si>
    <t>Apr</t>
  </si>
  <si>
    <t>May</t>
  </si>
  <si>
    <t>Jun</t>
  </si>
  <si>
    <t>Jul</t>
  </si>
  <si>
    <t>Aug</t>
  </si>
  <si>
    <t>Sep</t>
  </si>
  <si>
    <t>Oct</t>
  </si>
  <si>
    <t>Nov</t>
  </si>
  <si>
    <t>Dec</t>
  </si>
  <si>
    <t>East</t>
  </si>
  <si>
    <t>North</t>
  </si>
  <si>
    <t>South</t>
  </si>
  <si>
    <t>West</t>
  </si>
  <si>
    <t>INTERACTIVE SALES PERFORMANCE DASHBOARD</t>
  </si>
  <si>
    <r>
      <rPr>
        <rFont val="Arial"/>
        <b/>
        <color theme="1"/>
        <sz val="18.0"/>
      </rPr>
      <t xml:space="preserve">                                                       </t>
    </r>
    <r>
      <rPr>
        <rFont val="Arial"/>
        <b val="0"/>
        <color theme="1"/>
        <sz val="18.0"/>
      </rPr>
      <t xml:space="preserve"> </t>
    </r>
    <r>
      <rPr>
        <rFont val="Arial"/>
        <b val="0"/>
        <color rgb="FF93C47D"/>
        <sz val="18.0"/>
      </rPr>
      <t xml:space="preserve">             </t>
    </r>
    <r>
      <rPr>
        <rFont val="Arial"/>
        <b/>
        <color rgb="FF93C47D"/>
        <sz val="18.0"/>
      </rPr>
      <t xml:space="preserve"> </t>
    </r>
    <r>
      <rPr>
        <rFont val="Arial"/>
        <b/>
        <color rgb="FFFFFFFF"/>
        <sz val="18.0"/>
      </rPr>
      <t>Business Insights |</t>
    </r>
    <r>
      <rPr>
        <rFont val="Arial"/>
        <b/>
        <color rgb="FF6D9EEB"/>
        <sz val="18.0"/>
      </rPr>
      <t xml:space="preserve"> </t>
    </r>
    <r>
      <rPr>
        <rFont val="Arial"/>
        <b/>
        <color rgb="FFFFFFFF"/>
        <sz val="18.0"/>
      </rPr>
      <t>2024</t>
    </r>
    <r>
      <rPr>
        <rFont val="Arial"/>
        <b/>
        <color rgb="FF783F04"/>
        <sz val="18.0"/>
      </rPr>
      <t xml:space="preserve"> </t>
    </r>
    <r>
      <rPr>
        <rFont val="Arial"/>
        <b/>
        <color rgb="FFFFFFFF"/>
        <sz val="18.0"/>
      </rPr>
      <t>Sales Analysis</t>
    </r>
  </si>
  <si>
    <t>Total Sales</t>
  </si>
  <si>
    <t>Total Profit</t>
  </si>
  <si>
    <t>Total Orders</t>
  </si>
  <si>
    <t>Total Quantity</t>
  </si>
  <si>
    <t>Profit Margin %</t>
  </si>
  <si>
    <t>Average Order Value</t>
  </si>
  <si>
    <t>Sales Growth</t>
  </si>
  <si>
    <t xml:space="preserve">                     Created by Ishu Singh | Google Sheets Dashboard Project</t>
  </si>
  <si>
    <t xml:space="preserve">                                     Dashboard created using Google Sheets | Data Visualization Project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</si>
</sst>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00"/>
    <numFmt numFmtId="166" formatCode="mm-dd-yyyy"/>
  </numFmts>
  <fonts count="9">
    <font>
      <sz val="10.0"/>
      <color rgb="FF000000"/>
      <name val="Arial"/>
      <scheme val="minor"/>
    </font>
    <font>
      <b/>
      <color rgb="FF000000"/>
      <name val="Arial"/>
      <scheme val="minor"/>
    </font>
    <font>
      <b/>
      <color theme="1"/>
      <name val="Arial"/>
      <scheme val="minor"/>
    </font>
    <font>
      <color theme="1"/>
      <name val="Arial"/>
      <scheme val="minor"/>
    </font>
    <font>
      <b/>
      <sz val="24.0"/>
      <color rgb="FFFFFFFF"/>
      <name val="Arial"/>
      <scheme val="minor"/>
    </font>
    <font/>
    <font>
      <b/>
      <sz val="18.0"/>
      <color theme="1"/>
      <name val="Arial"/>
      <scheme val="minor"/>
    </font>
    <font>
      <b/>
      <sz val="16.0"/>
      <color theme="1"/>
      <name val="Arial"/>
      <scheme val="minor"/>
    </font>
    <font>
      <b/>
      <sz val="24.0"/>
      <color theme="1"/>
      <name val="Arial"/>
      <scheme val="minor"/>
    </font>
  </fonts>
  <fills count="8">
    <fill>
      <patternFill patternType="none"/>
    </fill>
    <fill>
      <patternFill patternType="lightGray"/>
    </fill>
    <fill>
      <patternFill patternType="solid">
        <fgColor rgb="FFA4C2F4"/>
        <bgColor rgb="FFA4C2F4"/>
      </patternFill>
    </fill>
    <fill>
      <patternFill patternType="solid">
        <fgColor rgb="FF0B5394"/>
        <bgColor rgb="FF0B5394"/>
      </patternFill>
    </fill>
    <fill>
      <patternFill patternType="solid">
        <fgColor rgb="FFFFFFFF"/>
        <bgColor rgb="FFFFFFFF"/>
      </patternFill>
    </fill>
    <fill>
      <patternFill patternType="solid">
        <fgColor rgb="FF93C47D"/>
        <bgColor rgb="FF93C47D"/>
      </patternFill>
    </fill>
    <fill>
      <patternFill patternType="solid">
        <fgColor rgb="FFD9D9D9"/>
        <bgColor rgb="FFD9D9D9"/>
      </patternFill>
    </fill>
    <fill>
      <patternFill patternType="solid">
        <fgColor rgb="FFF9CB9C"/>
        <bgColor rgb="FFF9CB9C"/>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164" xfId="0" applyAlignment="1" applyBorder="1" applyFill="1" applyFont="1" applyNumberFormat="1">
      <alignment readingOrder="0"/>
    </xf>
    <xf borderId="1" fillId="2" fontId="1" numFmtId="0" xfId="0" applyAlignment="1" applyBorder="1" applyFont="1">
      <alignment readingOrder="0"/>
    </xf>
    <xf borderId="1" fillId="2" fontId="1" numFmtId="165" xfId="0" applyAlignment="1" applyBorder="1" applyFont="1" applyNumberFormat="1">
      <alignment readingOrder="0"/>
    </xf>
    <xf borderId="2" fillId="2" fontId="1" numFmtId="4" xfId="0" applyAlignment="1" applyBorder="1" applyFont="1" applyNumberFormat="1">
      <alignment readingOrder="0"/>
    </xf>
    <xf borderId="0" fillId="2" fontId="2" numFmtId="0" xfId="0" applyAlignment="1" applyFont="1">
      <alignment readingOrder="0"/>
    </xf>
    <xf borderId="1" fillId="0" fontId="3" numFmtId="164" xfId="0" applyBorder="1" applyFont="1" applyNumberFormat="1"/>
    <xf borderId="1" fillId="0" fontId="3" numFmtId="0" xfId="0" applyBorder="1" applyFont="1"/>
    <xf borderId="1" fillId="0" fontId="3" numFmtId="165" xfId="0" applyBorder="1" applyFont="1" applyNumberFormat="1"/>
    <xf borderId="2" fillId="0" fontId="3" numFmtId="4" xfId="0" applyBorder="1" applyFont="1" applyNumberFormat="1"/>
    <xf borderId="0" fillId="0" fontId="3" numFmtId="164" xfId="0" applyFont="1" applyNumberFormat="1"/>
    <xf borderId="0" fillId="0" fontId="3" numFmtId="0" xfId="0" applyFont="1"/>
    <xf borderId="0" fillId="0" fontId="3" numFmtId="165" xfId="0" applyFont="1" applyNumberFormat="1"/>
    <xf borderId="0" fillId="0" fontId="3" numFmtId="10" xfId="0" applyFont="1" applyNumberFormat="1"/>
    <xf borderId="3" fillId="3" fontId="4" numFmtId="0" xfId="0" applyAlignment="1" applyBorder="1" applyFill="1" applyFont="1">
      <alignment horizontal="center" readingOrder="0" shrinkToFit="0" vertical="center" wrapText="1"/>
    </xf>
    <xf borderId="4" fillId="0" fontId="5" numFmtId="0" xfId="0" applyBorder="1" applyFont="1"/>
    <xf borderId="5" fillId="0" fontId="5" numFmtId="0" xfId="0" applyBorder="1" applyFont="1"/>
    <xf borderId="0" fillId="4" fontId="3" numFmtId="0" xfId="0" applyFill="1" applyFont="1"/>
    <xf borderId="6" fillId="5" fontId="6" numFmtId="0" xfId="0" applyAlignment="1" applyBorder="1" applyFill="1" applyFont="1">
      <alignment horizontal="left" readingOrder="0" vertical="center"/>
    </xf>
    <xf borderId="7" fillId="0" fontId="5" numFmtId="0" xfId="0" applyBorder="1" applyFont="1"/>
    <xf borderId="8" fillId="0" fontId="5" numFmtId="0" xfId="0" applyBorder="1" applyFont="1"/>
    <xf borderId="9" fillId="6" fontId="7" numFmtId="0" xfId="0" applyAlignment="1" applyBorder="1" applyFill="1" applyFont="1">
      <alignment horizontal="center" readingOrder="0" vertical="center"/>
    </xf>
    <xf borderId="10" fillId="0" fontId="5" numFmtId="0" xfId="0" applyBorder="1" applyFont="1"/>
    <xf borderId="11" fillId="6" fontId="7" numFmtId="0" xfId="0" applyAlignment="1" applyBorder="1" applyFont="1">
      <alignment horizontal="center" readingOrder="0" vertical="center"/>
    </xf>
    <xf borderId="0" fillId="4" fontId="7" numFmtId="0" xfId="0" applyAlignment="1" applyFont="1">
      <alignment readingOrder="0"/>
    </xf>
    <xf borderId="6" fillId="6" fontId="8" numFmtId="4" xfId="0" applyAlignment="1" applyBorder="1" applyFont="1" applyNumberFormat="1">
      <alignment horizontal="center" readingOrder="0" vertical="center"/>
    </xf>
    <xf borderId="6" fillId="6" fontId="8" numFmtId="165" xfId="0" applyAlignment="1" applyBorder="1" applyFont="1" applyNumberFormat="1">
      <alignment horizontal="center" vertical="center"/>
    </xf>
    <xf borderId="6" fillId="6" fontId="8" numFmtId="0" xfId="0" applyAlignment="1" applyBorder="1" applyFont="1">
      <alignment horizontal="center" vertical="center"/>
    </xf>
    <xf borderId="6" fillId="6" fontId="8" numFmtId="4" xfId="0" applyAlignment="1" applyBorder="1" applyFont="1" applyNumberFormat="1">
      <alignment horizontal="center" vertical="center"/>
    </xf>
    <xf borderId="6" fillId="6" fontId="8" numFmtId="10" xfId="0" applyAlignment="1" applyBorder="1" applyFont="1" applyNumberFormat="1">
      <alignment horizontal="center" vertical="center"/>
    </xf>
    <xf borderId="6" fillId="6" fontId="8" numFmtId="165" xfId="0" applyAlignment="1" applyBorder="1" applyFont="1" applyNumberFormat="1">
      <alignment horizontal="center" readingOrder="0" vertical="center"/>
    </xf>
    <xf borderId="12" fillId="6" fontId="8" numFmtId="10" xfId="0" applyAlignment="1" applyBorder="1" applyFont="1" applyNumberFormat="1">
      <alignment horizontal="center" vertical="center"/>
    </xf>
    <xf borderId="0" fillId="0" fontId="3" numFmtId="166" xfId="0" applyAlignment="1" applyFont="1" applyNumberFormat="1">
      <alignment readingOrder="0"/>
    </xf>
    <xf borderId="0" fillId="0" fontId="3" numFmtId="0" xfId="0" applyAlignment="1" applyFont="1">
      <alignment readingOrder="0"/>
    </xf>
    <xf borderId="0" fillId="4" fontId="3" numFmtId="0" xfId="0" applyAlignment="1" applyFont="1">
      <alignment readingOrder="0"/>
    </xf>
    <xf borderId="0" fillId="7" fontId="3" numFmtId="0" xfId="0" applyAlignment="1" applyFill="1" applyFont="1">
      <alignment horizontal="center" readingOrder="0"/>
    </xf>
    <xf borderId="0" fillId="4" fontId="3" numFmtId="0" xfId="0" applyAlignment="1" applyFont="1">
      <alignment horizontal="left" readingOrder="0"/>
    </xf>
  </cellXfs>
  <cellStyles count="1">
    <cellStyle xfId="0" name="Normal" builtinId="0"/>
  </cellStyles>
  <dxfs count="3">
    <dxf>
      <font/>
      <fill>
        <patternFill patternType="none"/>
      </fill>
      <border/>
    </dxf>
    <dxf>
      <font/>
      <fill>
        <patternFill patternType="solid">
          <fgColor rgb="FF00FF00"/>
          <bgColor rgb="FF00FF00"/>
        </patternFill>
      </fill>
      <border/>
    </dxf>
    <dxf>
      <font>
        <color rgb="FFF4C7C3"/>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Top 5 Performing Products</a:t>
            </a:r>
          </a:p>
        </c:rich>
      </c:tx>
      <c:overlay val="0"/>
    </c:title>
    <c:plotArea>
      <c:layout/>
      <c:barChart>
        <c:barDir val="bar"/>
        <c:ser>
          <c:idx val="0"/>
          <c:order val="0"/>
          <c:tx>
            <c:strRef>
              <c:f>'Pivot Table 6'!$B$1</c:f>
            </c:strRef>
          </c:tx>
          <c:spPr>
            <a:solidFill>
              <a:schemeClr val="accent1"/>
            </a:solidFill>
            <a:ln cmpd="sng">
              <a:solidFill>
                <a:srgbClr val="000000"/>
              </a:solidFill>
            </a:ln>
          </c:spPr>
          <c:cat>
            <c:strRef>
              <c:f>'Pivot Table 6'!$A$2:$A$6</c:f>
            </c:strRef>
          </c:cat>
          <c:val>
            <c:numRef>
              <c:f>'Pivot Table 6'!$B$2:$B$6</c:f>
              <c:numCache/>
            </c:numRef>
          </c:val>
        </c:ser>
        <c:axId val="2054199776"/>
        <c:axId val="1739724648"/>
      </c:barChart>
      <c:catAx>
        <c:axId val="205419977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c:txPr>
          <a:bodyPr/>
          <a:lstStyle/>
          <a:p>
            <a:pPr lvl="0">
              <a:defRPr b="0">
                <a:solidFill>
                  <a:srgbClr val="000000"/>
                </a:solidFill>
                <a:latin typeface="+mn-lt"/>
              </a:defRPr>
            </a:pPr>
          </a:p>
        </c:txPr>
        <c:crossAx val="1739724648"/>
      </c:catAx>
      <c:valAx>
        <c:axId val="173972464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4199776"/>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Sales by Product</a:t>
            </a:r>
          </a:p>
        </c:rich>
      </c:tx>
      <c:overlay val="0"/>
    </c:title>
    <c:plotArea>
      <c:layout/>
      <c:barChart>
        <c:barDir val="col"/>
        <c:ser>
          <c:idx val="0"/>
          <c:order val="0"/>
          <c:tx>
            <c:strRef>
              <c:f>'Pivot Table 1'!$B$1</c:f>
            </c:strRef>
          </c:tx>
          <c:spPr>
            <a:solidFill>
              <a:schemeClr val="accent1"/>
            </a:solidFill>
            <a:ln cmpd="sng">
              <a:solidFill>
                <a:srgbClr val="000000"/>
              </a:solidFill>
            </a:ln>
          </c:spPr>
          <c:cat>
            <c:strRef>
              <c:f>'Pivot Table 1'!$A$2:$A$8</c:f>
            </c:strRef>
          </c:cat>
          <c:val>
            <c:numRef>
              <c:f>'Pivot Table 1'!$B$2:$B$8</c:f>
              <c:numCache/>
            </c:numRef>
          </c:val>
        </c:ser>
        <c:axId val="559159645"/>
        <c:axId val="992257951"/>
      </c:barChart>
      <c:catAx>
        <c:axId val="5591596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c:txPr>
          <a:bodyPr/>
          <a:lstStyle/>
          <a:p>
            <a:pPr lvl="0">
              <a:defRPr b="0">
                <a:solidFill>
                  <a:srgbClr val="000000"/>
                </a:solidFill>
                <a:latin typeface="+mn-lt"/>
              </a:defRPr>
            </a:pPr>
          </a:p>
        </c:txPr>
        <c:crossAx val="992257951"/>
      </c:catAx>
      <c:valAx>
        <c:axId val="9922579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9159645"/>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Sales by Region</a:t>
            </a:r>
          </a:p>
        </c:rich>
      </c:tx>
      <c:overlay val="0"/>
    </c:title>
    <c:plotArea>
      <c:layout/>
      <c:pieChart>
        <c:varyColors val="1"/>
        <c:ser>
          <c:idx val="0"/>
          <c:order val="0"/>
          <c:tx>
            <c:strRef>
              <c:f>'Pivot Table 1'!$B$1</c:f>
            </c:strRef>
          </c:tx>
          <c:dPt>
            <c:idx val="0"/>
            <c:spPr>
              <a:solidFill>
                <a:srgbClr val="5891AD"/>
              </a:solidFill>
            </c:spPr>
          </c:dPt>
          <c:dPt>
            <c:idx val="1"/>
            <c:spPr>
              <a:solidFill>
                <a:srgbClr val="004561"/>
              </a:solidFill>
            </c:spPr>
          </c:dPt>
          <c:dPt>
            <c:idx val="2"/>
            <c:spPr>
              <a:solidFill>
                <a:srgbClr val="FF6F31"/>
              </a:solidFill>
            </c:spPr>
          </c:dPt>
          <c:dPt>
            <c:idx val="3"/>
            <c:spPr>
              <a:solidFill>
                <a:srgbClr val="1C7685"/>
              </a:solidFill>
            </c:spPr>
          </c:dPt>
          <c:dPt>
            <c:idx val="4"/>
          </c:dPt>
          <c:dLbls>
            <c:showLegendKey val="0"/>
            <c:showVal val="0"/>
            <c:showCatName val="0"/>
            <c:showSerName val="0"/>
            <c:showPercent val="0"/>
            <c:showBubbleSize val="0"/>
            <c:showLeaderLines val="1"/>
          </c:dLbls>
          <c:cat>
            <c:strRef>
              <c:f>'Pivot Table 1'!$A$2:$A$6</c:f>
            </c:strRef>
          </c:cat>
          <c:val>
            <c:numRef>
              <c:f>'Pivot Table 1'!$B$2:$B$6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Monthly Sales Trend</a:t>
            </a:r>
          </a:p>
        </c:rich>
      </c:tx>
      <c:overlay val="0"/>
    </c:title>
    <c:plotArea>
      <c:layout/>
      <c:lineChart>
        <c:varyColors val="0"/>
        <c:ser>
          <c:idx val="0"/>
          <c:order val="0"/>
          <c:tx>
            <c:strRef>
              <c:f>'Pivot Table 4'!$C$1</c:f>
            </c:strRef>
          </c:tx>
          <c:spPr>
            <a:ln cmpd="sng">
              <a:solidFill>
                <a:srgbClr val="5891AD"/>
              </a:solidFill>
            </a:ln>
          </c:spPr>
          <c:marker>
            <c:symbol val="none"/>
          </c:marker>
          <c:cat>
            <c:strRef>
              <c:f>'Pivot Table 4'!$B$2:$B$26</c:f>
            </c:strRef>
          </c:cat>
          <c:val>
            <c:numRef>
              <c:f>'Pivot Table 4'!$C$2:$C$26</c:f>
              <c:numCache/>
            </c:numRef>
          </c:val>
          <c:smooth val="0"/>
        </c:ser>
        <c:axId val="2009912876"/>
        <c:axId val="912563577"/>
      </c:lineChart>
      <c:catAx>
        <c:axId val="20099128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912563577"/>
      </c:catAx>
      <c:valAx>
        <c:axId val="9125635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9912876"/>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Top 5 Performing Products</a:t>
            </a:r>
          </a:p>
        </c:rich>
      </c:tx>
      <c:overlay val="0"/>
    </c:title>
    <c:plotArea>
      <c:layout/>
      <c:barChart>
        <c:barDir val="bar"/>
        <c:ser>
          <c:idx val="0"/>
          <c:order val="0"/>
          <c:tx>
            <c:strRef>
              <c:f>'Pivot Table 6'!$B$1</c:f>
            </c:strRef>
          </c:tx>
          <c:spPr>
            <a:solidFill>
              <a:schemeClr val="accent1"/>
            </a:solidFill>
            <a:ln cmpd="sng">
              <a:solidFill>
                <a:srgbClr val="000000"/>
              </a:solidFill>
            </a:ln>
          </c:spPr>
          <c:cat>
            <c:strRef>
              <c:f>'Pivot Table 6'!$A$2:$A$6</c:f>
            </c:strRef>
          </c:cat>
          <c:val>
            <c:numRef>
              <c:f>'Pivot Table 6'!$B$2:$B$6</c:f>
              <c:numCache/>
            </c:numRef>
          </c:val>
        </c:ser>
        <c:axId val="1033617067"/>
        <c:axId val="245187646"/>
      </c:barChart>
      <c:catAx>
        <c:axId val="10336170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c:txPr>
          <a:bodyPr/>
          <a:lstStyle/>
          <a:p>
            <a:pPr lvl="0">
              <a:defRPr b="0">
                <a:solidFill>
                  <a:srgbClr val="000000"/>
                </a:solidFill>
                <a:latin typeface="+mn-lt"/>
              </a:defRPr>
            </a:pPr>
          </a:p>
        </c:txPr>
        <c:crossAx val="245187646"/>
      </c:catAx>
      <c:valAx>
        <c:axId val="2451876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3617067"/>
        <c:crosses val="max"/>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5</xdr:row>
      <xdr:rowOff>133350</xdr:rowOff>
    </xdr:from>
    <xdr:ext cx="28575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6</xdr:row>
      <xdr:rowOff>66675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4</xdr:row>
      <xdr:rowOff>180975</xdr:rowOff>
    </xdr:from>
    <xdr:ext cx="3829050" cy="25431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247650</xdr:colOff>
      <xdr:row>4</xdr:row>
      <xdr:rowOff>180975</xdr:rowOff>
    </xdr:from>
    <xdr:ext cx="4410075" cy="25431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371475</xdr:colOff>
      <xdr:row>21</xdr:row>
      <xdr:rowOff>123825</xdr:rowOff>
    </xdr:from>
    <xdr:ext cx="7677150" cy="365760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962025</xdr:colOff>
      <xdr:row>4</xdr:row>
      <xdr:rowOff>180975</xdr:rowOff>
    </xdr:from>
    <xdr:ext cx="4457700" cy="25431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371475</xdr:colOff>
      <xdr:row>18</xdr:row>
      <xdr:rowOff>180975</xdr:rowOff>
    </xdr:from>
    <xdr:ext cx="2028825"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171450</xdr:colOff>
      <xdr:row>18</xdr:row>
      <xdr:rowOff>180975</xdr:rowOff>
    </xdr:from>
    <xdr:ext cx="2143125" cy="2857500"/>
    <mc:AlternateContent>
      <mc:Choice Requires="sle15">
        <xdr:graphicFrame>
          <xdr:nvGraphicFramePr>
            <xdr:cNvPr id="3" name="Product_3"/>
            <xdr:cNvGraphicFramePr/>
          </xdr:nvGraphicFramePr>
          <xdr:xfrm>
            <a:off x="0" y="0"/>
            <a:ext cx="0" cy="0"/>
          </xdr:xfrm>
          <a:graphic>
            <a:graphicData uri="http://schemas.microsoft.com/office/drawing/2010/slicer">
              <x3Unk:slicer name="Product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142875</xdr:colOff>
      <xdr:row>18</xdr:row>
      <xdr:rowOff>180975</xdr:rowOff>
    </xdr:from>
    <xdr:ext cx="2143125" cy="2857500"/>
    <mc:AlternateContent>
      <mc:Choice Requires="sle15">
        <xdr:graphicFrame>
          <xdr:nvGraphicFramePr>
            <xdr:cNvPr id="4" name="Category_4"/>
            <xdr:cNvGraphicFramePr/>
          </xdr:nvGraphicFramePr>
          <xdr:xfrm>
            <a:off x="0" y="0"/>
            <a:ext cx="0" cy="0"/>
          </xdr:xfrm>
          <a:graphic>
            <a:graphicData uri="http://schemas.microsoft.com/office/drawing/2010/slicer">
              <x3Unk:slicer name="Categor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1428750</xdr:colOff>
      <xdr:row>18</xdr:row>
      <xdr:rowOff>180975</xdr:rowOff>
    </xdr:from>
    <xdr:ext cx="4095750" cy="1733550"/>
    <xdr:sp>
      <xdr:nvSpPr>
        <xdr:cNvPr id="3" name="Shape 3"/>
        <xdr:cNvSpPr txBox="1"/>
      </xdr:nvSpPr>
      <xdr:spPr>
        <a:xfrm>
          <a:off x="1453625" y="509575"/>
          <a:ext cx="4080600" cy="1492200"/>
        </a:xfrm>
        <a:prstGeom prst="rect">
          <a:avLst/>
        </a:prstGeom>
        <a:solidFill>
          <a:srgbClr val="FFE599"/>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Business Insights</a:t>
          </a:r>
          <a:endParaRPr b="1" sz="1400"/>
        </a:p>
        <a:p>
          <a:pPr indent="0" lvl="0" marL="0" rtl="0" algn="l">
            <a:spcBef>
              <a:spcPts val="0"/>
            </a:spcBef>
            <a:spcAft>
              <a:spcPts val="0"/>
            </a:spcAft>
            <a:buNone/>
          </a:pPr>
          <a:r>
            <a:t/>
          </a:r>
          <a:endParaRPr sz="1400"/>
        </a:p>
        <a:p>
          <a:pPr indent="-317500" lvl="0" marL="457200" rtl="0" algn="l">
            <a:spcBef>
              <a:spcPts val="0"/>
            </a:spcBef>
            <a:spcAft>
              <a:spcPts val="0"/>
            </a:spcAft>
            <a:buSzPts val="1400"/>
            <a:buChar char="●"/>
          </a:pPr>
          <a:r>
            <a:rPr lang="en-US" sz="1400"/>
            <a:t>Laptop is the top performing product</a:t>
          </a:r>
          <a:endParaRPr sz="1400"/>
        </a:p>
        <a:p>
          <a:pPr indent="-317500" lvl="0" marL="457200" rtl="0" algn="l">
            <a:spcBef>
              <a:spcPts val="0"/>
            </a:spcBef>
            <a:spcAft>
              <a:spcPts val="0"/>
            </a:spcAft>
            <a:buSzPts val="1400"/>
            <a:buChar char="●"/>
          </a:pPr>
          <a:r>
            <a:rPr lang="en-US" sz="1400"/>
            <a:t>Sales dropped in February and August</a:t>
          </a:r>
          <a:endParaRPr sz="1400"/>
        </a:p>
        <a:p>
          <a:pPr indent="-317500" lvl="0" marL="457200" rtl="0" algn="l">
            <a:spcBef>
              <a:spcPts val="0"/>
            </a:spcBef>
            <a:spcAft>
              <a:spcPts val="0"/>
            </a:spcAft>
            <a:buSzPts val="1400"/>
            <a:buChar char="●"/>
          </a:pPr>
          <a:r>
            <a:rPr lang="en-US" sz="1400"/>
            <a:t>West region contributes highest revenue</a:t>
          </a:r>
          <a:endParaRPr sz="1400"/>
        </a:p>
      </xdr:txBody>
    </xdr: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001" sheet="Sales_Data"/>
  </cacheSource>
  <cacheFields>
    <cacheField name="Date" numFmtId="164">
      <sharedItems containsSemiMixedTypes="0" containsDate="1" containsString="0">
        <d v="2025-08-28T00:00:00Z"/>
        <d v="2025-04-11T00:00:00Z"/>
        <d v="2025-05-17T00:00:00Z"/>
        <d v="2025-04-20T00:00:00Z"/>
        <d v="2025-01-21T00:00:00Z"/>
        <d v="2025-01-26T00:00:00Z"/>
        <d v="2025-01-04T00:00:00Z"/>
        <d v="2025-03-30T00:00:00Z"/>
        <d v="2025-11-26T00:00:00Z"/>
        <d v="2025-02-10T00:00:00Z"/>
        <d v="2025-07-22T00:00:00Z"/>
        <d v="2025-08-15T00:00:00Z"/>
        <d v="2025-01-03T00:00:00Z"/>
        <d v="2025-03-24T00:00:00Z"/>
        <d v="2025-07-30T00:00:00Z"/>
        <d v="2025-02-09T00:00:00Z"/>
        <d v="2025-04-16T00:00:00Z"/>
        <d v="2025-09-30T00:00:00Z"/>
        <d v="2025-01-12T00:00:00Z"/>
        <d v="2025-05-04T00:00:00Z"/>
        <d v="2025-12-08T00:00:00Z"/>
        <d v="2025-11-11T00:00:00Z"/>
        <d v="2025-05-27T00:00:00Z"/>
        <d v="2025-07-20T00:00:00Z"/>
        <d v="2025-05-21T00:00:00Z"/>
        <d v="2025-11-23T00:00:00Z"/>
        <d v="2025-05-01T00:00:00Z"/>
        <d v="2025-04-19T00:00:00Z"/>
        <d v="2025-09-24T00:00:00Z"/>
        <d v="2025-02-23T00:00:00Z"/>
        <d v="2025-08-02T00:00:00Z"/>
        <d v="2025-11-29T00:00:00Z"/>
        <d v="2025-10-09T00:00:00Z"/>
        <d v="2025-11-30T00:00:00Z"/>
        <d v="2025-12-01T00:00:00Z"/>
        <d v="2025-05-06T00:00:00Z"/>
        <d v="2025-07-11T00:00:00Z"/>
        <d v="2025-10-08T00:00:00Z"/>
        <d v="2025-01-30T00:00:00Z"/>
        <d v="2025-06-19T00:00:00Z"/>
        <d v="2025-03-10T00:00:00Z"/>
        <d v="2025-05-19T00:00:00Z"/>
        <d v="2025-02-07T00:00:00Z"/>
        <d v="2025-09-12T00:00:00Z"/>
        <d v="2025-10-26T00:00:00Z"/>
        <d v="2025-01-11T00:00:00Z"/>
        <d v="2025-04-18T00:00:00Z"/>
        <d v="2025-05-10T00:00:00Z"/>
        <d v="2025-12-03T00:00:00Z"/>
        <d v="2025-03-21T00:00:00Z"/>
        <d v="2025-03-18T00:00:00Z"/>
        <d v="2025-05-20T00:00:00Z"/>
        <d v="2025-08-29T00:00:00Z"/>
        <d v="2025-06-28T00:00:00Z"/>
        <d v="2025-09-10T00:00:00Z"/>
        <d v="2025-01-17T00:00:00Z"/>
        <d v="2025-10-14T00:00:00Z"/>
        <d v="2025-12-30T00:00:00Z"/>
        <d v="2025-01-20T00:00:00Z"/>
        <d v="2025-10-25T00:00:00Z"/>
        <d v="2025-05-07T00:00:00Z"/>
        <d v="2025-05-11T00:00:00Z"/>
        <d v="2025-01-15T00:00:00Z"/>
        <d v="2025-03-13T00:00:00Z"/>
        <d v="2025-04-05T00:00:00Z"/>
        <d v="2025-12-13T00:00:00Z"/>
        <d v="2025-07-09T00:00:00Z"/>
        <d v="2025-07-01T00:00:00Z"/>
        <d v="2025-07-10T00:00:00Z"/>
        <d v="2025-07-21T00:00:00Z"/>
        <d v="2025-07-26T00:00:00Z"/>
        <d v="2025-06-01T00:00:00Z"/>
        <d v="2025-04-06T00:00:00Z"/>
        <d v="2025-06-20T00:00:00Z"/>
        <d v="2025-02-21T00:00:00Z"/>
        <d v="2025-05-30T00:00:00Z"/>
        <d v="2025-04-28T00:00:00Z"/>
        <d v="2025-05-28T00:00:00Z"/>
        <d v="2025-04-01T00:00:00Z"/>
        <d v="2025-04-09T00:00:00Z"/>
        <d v="2025-07-14T00:00:00Z"/>
        <d v="2025-01-25T00:00:00Z"/>
        <d v="2025-03-04T00:00:00Z"/>
        <d v="2025-06-08T00:00:00Z"/>
        <d v="2025-09-06T00:00:00Z"/>
        <d v="2025-12-09T00:00:00Z"/>
        <d v="2025-12-25T00:00:00Z"/>
        <d v="2025-06-09T00:00:00Z"/>
        <d v="2025-04-29T00:00:00Z"/>
        <d v="2025-02-20T00:00:00Z"/>
        <d v="2025-06-17T00:00:00Z"/>
        <d v="2025-03-07T00:00:00Z"/>
        <d v="2025-11-06T00:00:00Z"/>
        <d v="2025-01-01T00:00:00Z"/>
        <d v="2025-09-17T00:00:00Z"/>
        <d v="2025-05-18T00:00:00Z"/>
        <d v="2025-03-27T00:00:00Z"/>
        <d v="2025-05-14T00:00:00Z"/>
        <d v="2025-11-05T00:00:00Z"/>
        <d v="2025-07-07T00:00:00Z"/>
        <d v="2025-08-10T00:00:00Z"/>
        <d v="2025-08-13T00:00:00Z"/>
        <d v="2025-03-23T00:00:00Z"/>
        <d v="2025-11-25T00:00:00Z"/>
        <d v="2025-11-09T00:00:00Z"/>
        <d v="2025-08-24T00:00:00Z"/>
        <d v="2025-03-12T00:00:00Z"/>
        <d v="2025-07-29T00:00:00Z"/>
        <d v="2025-11-07T00:00:00Z"/>
        <d v="2025-09-08T00:00:00Z"/>
        <d v="2025-07-04T00:00:00Z"/>
        <d v="2025-10-10T00:00:00Z"/>
        <d v="2025-12-27T00:00:00Z"/>
        <d v="2025-03-06T00:00:00Z"/>
        <d v="2025-07-24T00:00:00Z"/>
        <d v="2025-07-31T00:00:00Z"/>
        <d v="2025-02-14T00:00:00Z"/>
        <d v="2025-09-01T00:00:00Z"/>
        <d v="2025-03-14T00:00:00Z"/>
        <d v="2025-04-24T00:00:00Z"/>
        <d v="2025-06-10T00:00:00Z"/>
        <d v="2025-09-29T00:00:00Z"/>
        <d v="2025-09-11T00:00:00Z"/>
        <d v="2025-01-13T00:00:00Z"/>
        <d v="2025-02-25T00:00:00Z"/>
        <d v="2025-09-13T00:00:00Z"/>
        <d v="2025-12-29T00:00:00Z"/>
        <d v="2025-07-27T00:00:00Z"/>
        <d v="2025-10-12T00:00:00Z"/>
        <d v="2025-05-22T00:00:00Z"/>
        <d v="2025-04-03T00:00:00Z"/>
        <d v="2025-03-03T00:00:00Z"/>
        <d v="2025-09-02T00:00:00Z"/>
        <d v="2025-10-24T00:00:00Z"/>
        <d v="2025-07-18T00:00:00Z"/>
        <d v="2025-12-12T00:00:00Z"/>
        <d v="2025-02-02T00:00:00Z"/>
        <d v="2025-09-27T00:00:00Z"/>
        <d v="2025-11-27T00:00:00Z"/>
        <d v="2025-04-27T00:00:00Z"/>
        <d v="2025-02-18T00:00:00Z"/>
        <d v="2025-05-23T00:00:00Z"/>
        <d v="2025-08-20T00:00:00Z"/>
        <d v="2025-10-17T00:00:00Z"/>
        <d v="2025-09-22T00:00:00Z"/>
        <d v="2025-08-21T00:00:00Z"/>
        <d v="2025-12-15T00:00:00Z"/>
        <d v="2025-02-12T00:00:00Z"/>
        <d v="2025-02-24T00:00:00Z"/>
        <d v="2025-09-28T00:00:00Z"/>
        <d v="2025-02-26T00:00:00Z"/>
        <d v="2025-06-23T00:00:00Z"/>
        <d v="2025-01-14T00:00:00Z"/>
        <d v="2025-06-06T00:00:00Z"/>
        <d v="2025-01-29T00:00:00Z"/>
        <d v="2025-10-07T00:00:00Z"/>
        <d v="2025-03-31T00:00:00Z"/>
        <d v="2026-01-01T00:00:00Z"/>
        <d v="2025-08-23T00:00:00Z"/>
        <d v="2025-02-28T00:00:00Z"/>
        <d v="2025-05-05T00:00:00Z"/>
        <d v="2025-11-01T00:00:00Z"/>
        <d v="2025-06-14T00:00:00Z"/>
        <d v="2025-12-05T00:00:00Z"/>
        <d v="2025-03-01T00:00:00Z"/>
        <d v="2025-11-19T00:00:00Z"/>
        <d v="2025-06-05T00:00:00Z"/>
        <d v="2025-01-07T00:00:00Z"/>
        <d v="2025-09-14T00:00:00Z"/>
        <d v="2025-10-18T00:00:00Z"/>
        <d v="2025-08-17T00:00:00Z"/>
        <d v="2025-10-30T00:00:00Z"/>
        <d v="2025-11-16T00:00:00Z"/>
        <d v="2025-07-16T00:00:00Z"/>
        <d v="2025-11-22T00:00:00Z"/>
        <d v="2025-04-21T00:00:00Z"/>
        <d v="2025-03-02T00:00:00Z"/>
        <d v="2025-05-08T00:00:00Z"/>
        <d v="2025-11-10T00:00:00Z"/>
        <d v="2025-09-16T00:00:00Z"/>
        <d v="2025-04-23T00:00:00Z"/>
        <d v="2025-11-14T00:00:00Z"/>
        <d v="2025-08-26T00:00:00Z"/>
        <d v="2025-10-01T00:00:00Z"/>
        <d v="2025-03-22T00:00:00Z"/>
        <d v="2025-04-25T00:00:00Z"/>
        <d v="2025-10-31T00:00:00Z"/>
        <d v="2025-02-27T00:00:00Z"/>
        <d v="2025-08-01T00:00:00Z"/>
        <d v="2025-05-09T00:00:00Z"/>
        <d v="2025-09-09T00:00:00Z"/>
        <d v="2025-03-09T00:00:00Z"/>
        <d v="2025-11-04T00:00:00Z"/>
        <d v="2025-05-12T00:00:00Z"/>
        <d v="2025-04-04T00:00:00Z"/>
        <d v="2025-05-24T00:00:00Z"/>
        <d v="2025-12-10T00:00:00Z"/>
        <d v="2025-02-05T00:00:00Z"/>
        <d v="2025-09-23T00:00:00Z"/>
        <d v="2025-01-28T00:00:00Z"/>
        <d v="2025-12-07T00:00:00Z"/>
        <d v="2025-09-21T00:00:00Z"/>
        <d v="2025-10-13T00:00:00Z"/>
        <d v="2025-12-31T00:00:00Z"/>
        <d v="2025-09-03T00:00:00Z"/>
        <d v="2025-07-25T00:00:00Z"/>
        <d v="2025-03-26T00:00:00Z"/>
        <d v="2025-01-16T00:00:00Z"/>
        <d v="2025-12-02T00:00:00Z"/>
        <d v="2025-06-27T00:00:00Z"/>
        <d v="2025-09-15T00:00:00Z"/>
        <d v="2025-02-03T00:00:00Z"/>
        <d v="2025-12-14T00:00:00Z"/>
        <d v="2025-10-21T00:00:00Z"/>
        <d v="2025-05-15T00:00:00Z"/>
        <d v="2025-10-23T00:00:00Z"/>
        <d v="2025-12-21T00:00:00Z"/>
        <d v="2025-02-19T00:00:00Z"/>
        <d v="2025-08-31T00:00:00Z"/>
        <d v="2025-05-26T00:00:00Z"/>
        <d v="2025-03-15T00:00:00Z"/>
        <d v="2025-10-06T00:00:00Z"/>
        <d v="2025-03-19T00:00:00Z"/>
        <d v="2025-05-25T00:00:00Z"/>
        <d v="2025-07-15T00:00:00Z"/>
        <d v="2025-09-18T00:00:00Z"/>
        <d v="2025-06-11T00:00:00Z"/>
        <d v="2025-12-04T00:00:00Z"/>
        <d v="2025-11-17T00:00:00Z"/>
        <d v="2025-04-08T00:00:00Z"/>
        <d v="2025-11-15T00:00:00Z"/>
        <d v="2025-03-28T00:00:00Z"/>
        <d v="2025-05-16T00:00:00Z"/>
        <d v="2025-12-19T00:00:00Z"/>
        <d v="2025-08-07T00:00:00Z"/>
        <d v="2025-10-04T00:00:00Z"/>
        <d v="2025-08-14T00:00:00Z"/>
        <d v="2025-03-08T00:00:00Z"/>
        <d v="2025-04-10T00:00:00Z"/>
        <d v="2025-01-18T00:00:00Z"/>
        <d v="2025-10-11T00:00:00Z"/>
        <d v="2025-01-09T00:00:00Z"/>
        <d v="2025-11-03T00:00:00Z"/>
        <d v="2025-01-02T00:00:00Z"/>
        <d v="2025-02-17T00:00:00Z"/>
        <d v="2025-06-03T00:00:00Z"/>
        <d v="2025-09-20T00:00:00Z"/>
        <d v="2025-12-06T00:00:00Z"/>
        <d v="2025-11-18T00:00:00Z"/>
        <d v="2025-06-07T00:00:00Z"/>
        <d v="2025-11-24T00:00:00Z"/>
        <d v="2025-03-11T00:00:00Z"/>
        <d v="2025-08-09T00:00:00Z"/>
        <d v="2025-12-26T00:00:00Z"/>
        <d v="2025-01-27T00:00:00Z"/>
        <d v="2025-08-06T00:00:00Z"/>
        <d v="2025-09-26T00:00:00Z"/>
        <d v="2025-02-15T00:00:00Z"/>
        <d v="2025-09-25T00:00:00Z"/>
        <d v="2025-08-12T00:00:00Z"/>
        <d v="2025-05-03T00:00:00Z"/>
        <d v="2025-01-31T00:00:00Z"/>
        <d v="2025-08-30T00:00:00Z"/>
        <d v="2025-02-13T00:00:00Z"/>
        <d v="2025-09-19T00:00:00Z"/>
        <d v="2025-06-16T00:00:00Z"/>
        <d v="2025-11-28T00:00:00Z"/>
        <d v="2025-10-27T00:00:00Z"/>
        <d v="2025-07-17T00:00:00Z"/>
        <d v="2025-10-15T00:00:00Z"/>
        <d v="2025-12-17T00:00:00Z"/>
        <d v="2025-06-18T00:00:00Z"/>
        <d v="2025-07-08T00:00:00Z"/>
        <d v="2025-02-01T00:00:00Z"/>
        <d v="2025-09-05T00:00:00Z"/>
        <d v="2025-08-18T00:00:00Z"/>
        <d v="2025-01-24T00:00:00Z"/>
        <d v="2025-02-11T00:00:00Z"/>
        <d v="2025-04-15T00:00:00Z"/>
        <d v="2025-06-04T00:00:00Z"/>
        <d v="2025-07-03T00:00:00Z"/>
        <d v="2025-08-05T00:00:00Z"/>
        <d v="2025-02-08T00:00:00Z"/>
        <d v="2025-11-08T00:00:00Z"/>
        <d v="2025-07-13T00:00:00Z"/>
        <d v="2025-10-19T00:00:00Z"/>
        <d v="2025-10-02T00:00:00Z"/>
        <d v="2025-05-31T00:00:00Z"/>
        <d v="2025-04-26T00:00:00Z"/>
        <d v="2025-01-22T00:00:00Z"/>
        <d v="2025-06-21T00:00:00Z"/>
        <d v="2025-10-20T00:00:00Z"/>
        <d v="2025-10-22T00:00:00Z"/>
        <d v="2025-08-22T00:00:00Z"/>
        <d v="2025-02-04T00:00:00Z"/>
        <d v="2025-12-28T00:00:00Z"/>
        <d v="2025-04-07T00:00:00Z"/>
        <d v="2025-04-13T00:00:00Z"/>
        <d v="2025-04-22T00:00:00Z"/>
        <d v="2025-11-21T00:00:00Z"/>
        <d v="2025-07-12T00:00:00Z"/>
        <d v="2025-01-10T00:00:00Z"/>
        <d v="2025-01-06T00:00:00Z"/>
        <d v="2025-02-16T00:00:00Z"/>
        <d v="2025-04-17T00:00:00Z"/>
        <d v="2025-06-25T00:00:00Z"/>
        <d v="2025-05-02T00:00:00Z"/>
        <d v="2025-08-03T00:00:00Z"/>
        <d v="2025-12-22T00:00:00Z"/>
        <d v="2025-02-06T00:00:00Z"/>
        <d v="2025-04-14T00:00:00Z"/>
        <d v="2025-08-19T00:00:00Z"/>
        <d v="2025-12-18T00:00:00Z"/>
        <d v="2025-12-16T00:00:00Z"/>
        <d v="2025-12-20T00:00:00Z"/>
        <d v="2025-04-02T00:00:00Z"/>
        <d v="2025-06-26T00:00:00Z"/>
        <d v="2025-06-24T00:00:00Z"/>
        <d v="2025-03-25T00:00:00Z"/>
        <d v="2025-10-28T00:00:00Z"/>
        <d v="2025-08-27T00:00:00Z"/>
        <d v="2025-12-23T00:00:00Z"/>
        <d v="2025-10-29T00:00:00Z"/>
        <d v="2025-06-15T00:00:00Z"/>
        <d v="2025-06-30T00:00:00Z"/>
        <d v="2025-01-23T00:00:00Z"/>
        <d v="2025-06-29T00:00:00Z"/>
        <d v="2025-10-05T00:00:00Z"/>
        <d v="2025-01-05T00:00:00Z"/>
        <d v="2025-12-11T00:00:00Z"/>
        <d v="2025-07-23T00:00:00Z"/>
        <d v="2025-02-22T00:00:00Z"/>
        <d v="2025-06-02T00:00:00Z"/>
        <d v="2025-12-24T00:00:00Z"/>
        <d v="2025-01-19T00:00:00Z"/>
        <d v="2025-04-30T00:00:00Z"/>
        <d v="2025-07-19T00:00:00Z"/>
        <d v="2025-03-29T00:00:00Z"/>
        <d v="2025-05-29T00:00:00Z"/>
        <d v="2025-05-13T00:00:00Z"/>
        <d v="2025-09-07T00:00:00Z"/>
        <d v="2025-08-08T00:00:00Z"/>
        <d v="2025-07-06T00:00:00Z"/>
        <d v="2025-09-04T00:00:00Z"/>
        <d v="2025-03-05T00:00:00Z"/>
        <d v="2025-08-11T00:00:00Z"/>
        <d v="2025-10-16T00:00:00Z"/>
        <d v="2025-06-13T00:00:00Z"/>
      </sharedItems>
    </cacheField>
    <cacheField name="Product" numFmtId="0">
      <sharedItems>
        <s v="Laptop"/>
        <s v="Tablet"/>
        <s v="Chair"/>
        <s v="Phone"/>
        <s v="Table"/>
        <s v="Monitor"/>
      </sharedItems>
    </cacheField>
    <cacheField name="Category" numFmtId="0">
      <sharedItems>
        <s v="Electronics"/>
        <s v="Furniture"/>
      </sharedItems>
    </cacheField>
    <cacheField name="Region" numFmtId="0">
      <sharedItems>
        <s v="North"/>
        <s v="South"/>
        <s v="West"/>
        <s v="East"/>
      </sharedItems>
    </cacheField>
    <cacheField name="Sales" numFmtId="165">
      <sharedItems containsSemiMixedTypes="0" containsString="0" containsNumber="1" containsInteger="1">
        <n v="1868.0"/>
        <n v="950.0"/>
        <n v="1549.0"/>
        <n v="1229.0"/>
        <n v="1980.0"/>
        <n v="1139.0"/>
        <n v="420.0"/>
        <n v="1027.0"/>
        <n v="1248.0"/>
        <n v="1608.0"/>
        <n v="1271.0"/>
        <n v="1578.0"/>
        <n v="1311.0"/>
        <n v="637.0"/>
        <n v="1677.0"/>
        <n v="529.0"/>
        <n v="1776.0"/>
        <n v="320.0"/>
        <n v="1964.0"/>
        <n v="1996.0"/>
        <n v="1002.0"/>
        <n v="1160.0"/>
        <n v="488.0"/>
        <n v="874.0"/>
        <n v="906.0"/>
        <n v="672.0"/>
        <n v="1939.0"/>
        <n v="785.0"/>
        <n v="349.0"/>
        <n v="1556.0"/>
        <n v="1181.0"/>
        <n v="338.0"/>
        <n v="1903.0"/>
        <n v="1502.0"/>
        <n v="740.0"/>
        <n v="861.0"/>
        <n v="1089.0"/>
        <n v="548.0"/>
        <n v="1852.0"/>
        <n v="1163.0"/>
        <n v="832.0"/>
        <n v="1529.0"/>
        <n v="1948.0"/>
        <n v="427.0"/>
        <n v="1384.0"/>
        <n v="1679.0"/>
        <n v="748.0"/>
        <n v="487.0"/>
        <n v="1419.0"/>
        <n v="1454.0"/>
        <n v="1258.0"/>
        <n v="389.0"/>
        <n v="1374.0"/>
        <n v="1821.0"/>
        <n v="1847.0"/>
        <n v="375.0"/>
        <n v="1896.0"/>
        <n v="1970.0"/>
        <n v="407.0"/>
        <n v="1840.0"/>
        <n v="691.0"/>
        <n v="1559.0"/>
        <n v="1014.0"/>
        <n v="1506.0"/>
        <n v="1075.0"/>
        <n v="1967.0"/>
        <n v="1547.0"/>
        <n v="1616.0"/>
        <n v="1138.0"/>
        <n v="508.0"/>
        <n v="1215.0"/>
        <n v="1359.0"/>
        <n v="1069.0"/>
        <n v="1663.0"/>
        <n v="1934.0"/>
        <n v="1574.0"/>
        <n v="1230.0"/>
        <n v="543.0"/>
        <n v="1216.0"/>
        <n v="1954.0"/>
        <n v="777.0"/>
        <n v="1438.0"/>
        <n v="248.0"/>
        <n v="869.0"/>
        <n v="311.0"/>
        <n v="752.0"/>
        <n v="1762.0"/>
        <n v="256.0"/>
        <n v="1672.0"/>
        <n v="209.0"/>
        <n v="1116.0"/>
        <n v="394.0"/>
        <n v="1624.0"/>
        <n v="750.0"/>
        <n v="1583.0"/>
        <n v="1449.0"/>
        <n v="1110.0"/>
        <n v="1227.0"/>
        <n v="1219.0"/>
        <n v="368.0"/>
        <n v="554.0"/>
        <n v="690.0"/>
        <n v="1094.0"/>
        <n v="244.0"/>
        <n v="996.0"/>
        <n v="1222.0"/>
        <n v="293.0"/>
        <n v="1096.0"/>
        <n v="1456.0"/>
        <n v="1953.0"/>
        <n v="708.0"/>
        <n v="489.0"/>
        <n v="1500.0"/>
        <n v="592.0"/>
        <n v="749.0"/>
        <n v="588.0"/>
        <n v="1241.0"/>
        <n v="1737.0"/>
        <n v="340.0"/>
        <n v="1150.0"/>
        <n v="1259.0"/>
        <n v="275.0"/>
        <n v="1236.0"/>
        <n v="1013.0"/>
        <n v="1162.0"/>
        <n v="1983.0"/>
        <n v="1342.0"/>
        <n v="580.0"/>
        <n v="1137.0"/>
        <n v="1537.0"/>
        <n v="1783.0"/>
        <n v="1510.0"/>
        <n v="1429.0"/>
        <n v="237.0"/>
        <n v="1354.0"/>
        <n v="1773.0"/>
        <n v="918.0"/>
        <n v="591.0"/>
        <n v="1280.0"/>
        <n v="578.0"/>
        <n v="946.0"/>
        <n v="1187.0"/>
        <n v="1461.0"/>
        <n v="466.0"/>
        <n v="780.0"/>
        <n v="567.0"/>
        <n v="1824.0"/>
        <n v="823.0"/>
        <n v="1552.0"/>
        <n v="418.0"/>
        <n v="1654.0"/>
        <n v="933.0"/>
        <n v="955.0"/>
        <n v="1880.0"/>
        <n v="1165.0"/>
        <n v="1845.0"/>
        <n v="1377.0"/>
        <n v="574.0"/>
        <n v="703.0"/>
        <n v="1250.0"/>
        <n v="1942.0"/>
        <n v="1782.0"/>
        <n v="681.0"/>
        <n v="1494.0"/>
        <n v="1036.0"/>
        <n v="1410.0"/>
        <n v="809.0"/>
        <n v="1856.0"/>
        <n v="1501.0"/>
        <n v="395.0"/>
        <n v="1853.0"/>
        <n v="1606.0"/>
        <n v="1975.0"/>
        <n v="551.0"/>
        <n v="485.0"/>
        <n v="254.0"/>
        <n v="1910.0"/>
        <n v="302.0"/>
        <n v="667.0"/>
        <n v="730.0"/>
        <n v="522.0"/>
        <n v="660.0"/>
        <n v="922.0"/>
        <n v="599.0"/>
        <n v="627.0"/>
        <n v="670.0"/>
        <n v="1026.0"/>
        <n v="1786.0"/>
        <n v="1290.0"/>
        <n v="961.0"/>
        <n v="1892.0"/>
        <n v="240.0"/>
        <n v="318.0"/>
        <n v="804.0"/>
        <n v="1401.0"/>
        <n v="1634.0"/>
        <n v="930.0"/>
        <n v="1920.0"/>
        <n v="884.0"/>
        <n v="662.0"/>
        <n v="1071.0"/>
        <n v="1302.0"/>
        <n v="1918.0"/>
        <n v="1767.0"/>
        <n v="555.0"/>
        <n v="1035.0"/>
        <n v="910.0"/>
        <n v="887.0"/>
        <n v="1723.0"/>
        <n v="471.0"/>
        <n v="1881.0"/>
        <n v="526.0"/>
        <n v="1112.0"/>
        <n v="1527.0"/>
        <n v="1912.0"/>
        <n v="513.0"/>
        <n v="724.0"/>
        <n v="723.0"/>
        <n v="221.0"/>
        <n v="707.0"/>
        <n v="641.0"/>
        <n v="1063.0"/>
        <n v="484.0"/>
        <n v="448.0"/>
        <n v="478.0"/>
        <n v="1287.0"/>
        <n v="1949.0"/>
        <n v="1319.0"/>
        <n v="1770.0"/>
        <n v="1793.0"/>
        <n v="1308.0"/>
        <n v="1994.0"/>
        <n v="294.0"/>
        <n v="1977.0"/>
        <n v="1158.0"/>
        <n v="1038.0"/>
        <n v="1496.0"/>
        <n v="310.0"/>
        <n v="270.0"/>
        <n v="238.0"/>
        <n v="1725.0"/>
        <n v="1894.0"/>
        <n v="1482.0"/>
        <n v="266.0"/>
        <n v="1270.0"/>
        <n v="1015.0"/>
        <n v="388.0"/>
        <n v="622.0"/>
        <n v="866.0"/>
        <n v="1935.0"/>
        <n v="571.0"/>
        <n v="475.0"/>
        <n v="651.0"/>
        <n v="1945.0"/>
        <n v="351.0"/>
        <n v="1792.0"/>
        <n v="1702.0"/>
        <n v="945.0"/>
        <n v="570.0"/>
        <n v="1257.0"/>
        <n v="1068.0"/>
        <n v="1694.0"/>
        <n v="658.0"/>
        <n v="510.0"/>
        <n v="553.0"/>
        <n v="1878.0"/>
        <n v="1512.0"/>
        <n v="202.0"/>
        <n v="911.0"/>
        <n v="234.0"/>
        <n v="754.0"/>
        <n v="931.0"/>
        <n v="1617.0"/>
        <n v="1334.0"/>
        <n v="1658.0"/>
        <n v="1080.0"/>
        <n v="1385.0"/>
        <n v="1171.0"/>
        <n v="1683.0"/>
        <n v="1123.0"/>
        <n v="439.0"/>
        <n v="653.0"/>
        <n v="1184.0"/>
        <n v="474.0"/>
        <n v="843.0"/>
        <n v="447.0"/>
        <n v="1660.0"/>
        <n v="1000.0"/>
        <n v="643.0"/>
        <n v="1541.0"/>
        <n v="467.0"/>
        <n v="959.0"/>
        <n v="824.0"/>
        <n v="969.0"/>
        <n v="769.0"/>
        <n v="1904.0"/>
        <n v="1045.0"/>
        <n v="1611.0"/>
        <n v="625.0"/>
        <n v="956.0"/>
        <n v="581.0"/>
        <n v="305.0"/>
        <n v="200.0"/>
        <n v="1175.0"/>
        <n v="1906.0"/>
        <n v="1865.0"/>
        <n v="1933.0"/>
        <n v="1111.0"/>
        <n v="1721.0"/>
        <n v="476.0"/>
        <n v="646.0"/>
        <n v="885.0"/>
        <n v="1113.0"/>
        <n v="286.0"/>
        <n v="1711.0"/>
        <n v="1719.0"/>
        <n v="1053.0"/>
        <n v="1152.0"/>
        <n v="1397.0"/>
        <n v="1391.0"/>
        <n v="618.0"/>
        <n v="1156.0"/>
        <n v="1009.0"/>
        <n v="665.0"/>
        <n v="1614.0"/>
        <n v="1661.0"/>
        <n v="1662.0"/>
        <n v="1875.0"/>
        <n v="1114.0"/>
        <n v="1046.0"/>
        <n v="1351.0"/>
        <n v="979.0"/>
        <n v="1743.0"/>
        <n v="1758.0"/>
        <n v="1883.0"/>
        <n v="1210.0"/>
        <n v="500.0"/>
        <n v="1101.0"/>
        <n v="577.0"/>
        <n v="1060.0"/>
        <n v="1974.0"/>
        <n v="774.0"/>
        <n v="479.0"/>
        <n v="1911.0"/>
        <n v="862.0"/>
        <n v="1117.0"/>
        <n v="550.0"/>
        <n v="1196.0"/>
        <n v="1572.0"/>
        <n v="1593.0"/>
        <n v="842.0"/>
        <n v="1378.0"/>
        <n v="1474.0"/>
        <n v="342.0"/>
        <n v="452.0"/>
        <n v="1554.0"/>
        <n v="1697.0"/>
        <n v="1991.0"/>
        <n v="473.0"/>
        <n v="1517.0"/>
        <n v="1288.0"/>
        <n v="1357.0"/>
        <n v="897.0"/>
        <n v="1707.0"/>
        <n v="726.0"/>
        <n v="1362.0"/>
        <n v="258.0"/>
        <n v="1178.0"/>
        <n v="1256.0"/>
        <n v="390.0"/>
        <n v="1619.0"/>
        <n v="1264.0"/>
        <n v="1765.0"/>
        <n v="747.0"/>
        <n v="796.0"/>
        <n v="1750.0"/>
        <n v="863.0"/>
        <n v="1951.0"/>
        <n v="1848.0"/>
        <n v="1626.0"/>
        <n v="1582.0"/>
        <n v="620.0"/>
        <n v="458.0"/>
        <n v="1879.0"/>
        <n v="1312.0"/>
        <n v="1099.0"/>
        <n v="636.0"/>
        <n v="1188.0"/>
        <n v="472.0"/>
        <n v="812.0"/>
        <n v="844.0"/>
        <n v="624.0"/>
        <n v="267.0"/>
        <n v="1128.0"/>
        <n v="799.0"/>
        <n v="584.0"/>
        <n v="1202.0"/>
        <n v="1913.0"/>
        <n v="1379.0"/>
        <n v="369.0"/>
        <n v="1993.0"/>
        <n v="1789.0"/>
        <n v="1301.0"/>
        <n v="1706.0"/>
        <n v="1059.0"/>
        <n v="1115.0"/>
        <n v="920.0"/>
        <n v="1643.0"/>
        <n v="210.0"/>
        <n v="1439.0"/>
        <n v="712.0"/>
        <n v="608.0"/>
        <n v="399.0"/>
        <n v="1262.0"/>
        <n v="1234.0"/>
        <n v="1043.0"/>
        <n v="1828.0"/>
        <n v="743.0"/>
        <n v="1618.0"/>
        <n v="582.0"/>
        <n v="572.0"/>
        <n v="1764.0"/>
        <n v="1336.0"/>
        <n v="446.0"/>
        <n v="1915.0"/>
        <n v="1224.0"/>
        <n v="1098.0"/>
        <n v="846.0"/>
        <n v="1691.0"/>
        <n v="1545.0"/>
        <n v="901.0"/>
        <n v="391.0"/>
        <n v="1866.0"/>
        <n v="986.0"/>
        <n v="679.0"/>
        <n v="1404.0"/>
        <n v="1862.0"/>
        <n v="1937.0"/>
        <n v="776.0"/>
        <n v="1105.0"/>
        <n v="252.0"/>
        <n v="1142.0"/>
        <n v="564.0"/>
        <n v="1360.0"/>
        <n v="1371.0"/>
        <n v="1455.0"/>
        <n v="1041.0"/>
        <n v="929.0"/>
        <n v="1293.0"/>
        <n v="1577.0"/>
        <n v="523.0"/>
        <n v="1675.0"/>
        <n v="1022.0"/>
        <n v="1623.0"/>
        <n v="1817.0"/>
        <n v="1321.0"/>
        <n v="697.0"/>
        <n v="1497.0"/>
        <n v="1673.0"/>
        <n v="686.0"/>
        <n v="469.0"/>
        <n v="1539.0"/>
        <n v="362.0"/>
        <n v="1313.0"/>
        <n v="1730.0"/>
        <n v="356.0"/>
        <n v="1297.0"/>
        <n v="1900.0"/>
        <n v="1668.0"/>
        <n v="1709.0"/>
        <n v="341.0"/>
        <n v="1047.0"/>
        <n v="1965.0"/>
        <n v="1054.0"/>
        <n v="226.0"/>
        <n v="960.0"/>
        <n v="277.0"/>
        <n v="541.0"/>
        <n v="401.0"/>
        <n v="255.0"/>
        <n v="1292.0"/>
        <n v="1813.0"/>
        <n v="1843.0"/>
        <n v="639.0"/>
        <n v="516.0"/>
        <n v="1356.0"/>
        <n v="661.0"/>
        <n v="1984.0"/>
        <n v="539.0"/>
        <n v="317.0"/>
        <n v="1959.0"/>
        <n v="1299.0"/>
        <n v="1814.0"/>
        <n v="1405.0"/>
        <n v="1863.0"/>
        <n v="1413.0"/>
        <n v="531.0"/>
        <n v="329.0"/>
        <n v="289.0"/>
        <n v="1203.0"/>
        <n v="1274.0"/>
        <n v="1421.0"/>
        <n v="497.0"/>
        <n v="380.0"/>
        <n v="1727.0"/>
        <n v="492.0"/>
        <n v="1477.0"/>
        <n v="330.0"/>
        <n v="1799.0"/>
        <n v="1127.0"/>
        <n v="1726.0"/>
        <n v="1470.0"/>
        <n v="1613.0"/>
        <n v="1597.0"/>
        <n v="268.0"/>
        <n v="1291.0"/>
        <n v="1774.0"/>
        <n v="939.0"/>
        <n v="383.0"/>
        <n v="1971.0"/>
        <n v="563.0"/>
        <n v="490.0"/>
        <n v="535.0"/>
        <n v="1044.0"/>
        <n v="562.0"/>
        <n v="1057.0"/>
        <n v="1695.0"/>
        <n v="586.0"/>
        <n v="1232.0"/>
        <n v="856.0"/>
        <n v="596.0"/>
        <n v="623.0"/>
        <n v="1649.0"/>
        <n v="326.0"/>
        <n v="1657.0"/>
        <n v="1279.0"/>
        <n v="1335.0"/>
        <n v="1499.0"/>
        <n v="462.0"/>
        <n v="1370.0"/>
        <n v="1253.0"/>
        <n v="673.0"/>
        <n v="358.0"/>
        <n v="1207.0"/>
        <n v="1788.0"/>
        <n v="630.0"/>
        <n v="404.0"/>
        <n v="668.0"/>
        <n v="235.0"/>
        <n v="1534.0"/>
        <n v="1254.0"/>
        <n v="1909.0"/>
        <n v="213.0"/>
        <n v="1928.0"/>
        <n v="807.0"/>
        <n v="276.0"/>
        <n v="870.0"/>
        <n v="802.0"/>
        <n v="260.0"/>
        <n v="321.0"/>
        <n v="1166.0"/>
        <n v="1090.0"/>
        <n v="1728.0"/>
        <n v="1399.0"/>
        <n v="803.0"/>
        <n v="997.0"/>
        <n v="1471.0"/>
        <n v="1686.0"/>
        <n v="1286.0"/>
        <n v="1886.0"/>
        <n v="331.0"/>
        <n v="1958.0"/>
        <n v="680.0"/>
        <n v="926.0"/>
        <n v="1212.0"/>
        <n v="430.0"/>
        <n v="495.0"/>
        <n v="1039.0"/>
        <n v="1409.0"/>
        <n v="942.0"/>
        <n v="384.0"/>
        <n v="994.0"/>
        <n v="1768.0"/>
        <n v="867.0"/>
        <n v="1197.0"/>
        <n v="976.0"/>
        <n v="372.0"/>
        <n v="1505.0"/>
        <n v="361.0"/>
        <n v="546.0"/>
        <n v="760.0"/>
        <n v="1560.0"/>
        <n v="834.0"/>
        <n v="1998.0"/>
        <n v="759.0"/>
        <n v="1598.0"/>
        <n v="436.0"/>
        <n v="786.0"/>
        <n v="795.0"/>
        <n v="1528.0"/>
        <n v="403.0"/>
        <n v="1394.0"/>
        <n v="515.0"/>
        <n v="1803.0"/>
        <n v="1877.0"/>
        <n v="1602.0"/>
        <n v="1255.0"/>
        <n v="1042.0"/>
        <n v="954.0"/>
        <n v="325.0"/>
        <n v="367.0"/>
        <n v="1479.0"/>
        <n v="1365.0"/>
        <n v="1557.0"/>
        <n v="980.0"/>
        <n v="1963.0"/>
        <n v="1352.0"/>
        <n v="335.0"/>
        <n v="1808.0"/>
        <n v="683.0"/>
        <n v="1833.0"/>
        <n v="756.0"/>
        <n v="1729.0"/>
        <n v="857.0"/>
        <n v="1968.0"/>
        <n v="1509.0"/>
        <n v="1272.0"/>
        <n v="1685.0"/>
        <n v="1485.0"/>
        <n v="1553.0"/>
        <n v="1372.0"/>
        <n v="271.0"/>
        <n v="1536.0"/>
        <n v="1338.0"/>
        <n v="1343.0"/>
        <n v="892.0"/>
        <n v="865.0"/>
        <n v="1466.0"/>
        <n v="1687.0"/>
        <n v="1406.0"/>
        <n v="514.0"/>
        <n v="935.0"/>
        <n v="1121.0"/>
        <n v="1630.0"/>
        <n v="422.0"/>
        <n v="1588.0"/>
        <n v="1701.0"/>
        <n v="1469.0"/>
        <n v="528.0"/>
        <n v="509.0"/>
        <n v="612.0"/>
        <n v="817.0"/>
        <n v="307.0"/>
        <n v="561.0"/>
        <n v="232.0"/>
        <n v="1646.0"/>
        <n v="1653.0"/>
        <n v="1710.0"/>
        <n v="1345.0"/>
        <n v="1521.0"/>
        <n v="279.0"/>
        <n v="1327.0"/>
        <n v="1508.0"/>
        <n v="1034.0"/>
        <n v="1952.0"/>
        <n v="647.0"/>
        <n v="659.0"/>
        <n v="537.0"/>
        <n v="1468.0"/>
        <n v="371.0"/>
        <n v="247.0"/>
        <n v="1872.0"/>
        <n v="1065.0"/>
        <n v="595.0"/>
        <n v="1603.0"/>
        <n v="1179.0"/>
        <n v="702.0"/>
        <n v="877.0"/>
        <n v="958.0"/>
        <n v="1676.0"/>
        <n v="1562.0"/>
        <n v="728.0"/>
        <n v="1249.0"/>
        <n v="744.0"/>
        <n v="1696.0"/>
        <n v="810.0"/>
        <n v="453.0"/>
        <n v="882.0"/>
        <n v="1944.0"/>
        <n v="1457.0"/>
        <n v="998.0"/>
        <n v="1393.0"/>
        <n v="1812.0"/>
        <n v="676.0"/>
        <n v="645.0"/>
        <n v="1211.0"/>
        <n v="432.0"/>
        <n v="468.0"/>
        <n v="1198.0"/>
        <n v="983.0"/>
        <n v="982.0"/>
        <n v="741.0"/>
        <n v="241.0"/>
        <n v="1760.0"/>
        <n v="1464.0"/>
        <n v="1621.0"/>
        <n v="1950.0"/>
        <n v="1414.0"/>
        <n v="628.0"/>
        <n v="1642.0"/>
        <n v="1636.0"/>
        <n v="607.0"/>
        <n v="912.0"/>
        <n v="1919.0"/>
        <n v="1962.0"/>
        <n v="794.0"/>
        <n v="654.0"/>
        <n v="847.0"/>
        <n v="848.0"/>
        <n v="772.0"/>
        <n v="426.0"/>
        <n v="494.0"/>
        <n v="1670.0"/>
        <n v="1544.0"/>
        <n v="1961.0"/>
        <n v="350.0"/>
        <n v="300.0"/>
        <n v="1960.0"/>
        <n v="1827.0"/>
        <n v="1078.0"/>
        <n v="1423.0"/>
        <n v="205.0"/>
        <n v="835.0"/>
        <n v="2000.0"/>
        <n v="875.0"/>
        <n v="1333.0"/>
        <n v="631.0"/>
        <n v="1972.0"/>
        <n v="1050.0"/>
        <n v="545.0"/>
        <n v="766.0"/>
        <n v="217.0"/>
        <n v="1240.0"/>
        <n v="767.0"/>
        <n v="614.0"/>
        <n v="713.0"/>
        <n v="568.0"/>
        <n v="1699.0"/>
        <n v="1032.0"/>
        <n v="569.0"/>
        <n v="836.0"/>
        <n v="533.0"/>
        <n v="1495.0"/>
        <n v="1148.0"/>
        <n v="1898.0"/>
        <n v="505.0"/>
        <n v="1407.0"/>
        <n v="853.0"/>
        <n v="1350.0"/>
        <n v="1247.0"/>
        <n v="1048.0"/>
        <n v="695.0"/>
        <n v="250.0"/>
        <n v="1324.0"/>
        <n v="1104.0"/>
        <n v="814.0"/>
        <n v="1200.0"/>
      </sharedItems>
    </cacheField>
    <cacheField name="Profit" numFmtId="165">
      <sharedItems containsSemiMixedTypes="0" containsString="0" containsNumber="1">
        <n v="205.48"/>
        <n v="190.0"/>
        <n v="294.31"/>
        <n v="307.25"/>
        <n v="356.4"/>
        <n v="125.29"/>
        <n v="109.2"/>
        <n v="112.97"/>
        <n v="336.96"/>
        <n v="289.44"/>
        <n v="279.62"/>
        <n v="205.14"/>
        <n v="131.1"/>
        <n v="63.7"/>
        <n v="301.86"/>
        <n v="89.93"/>
        <n v="266.4"/>
        <n v="35.2"/>
        <n v="451.72"/>
        <n v="219.56"/>
        <n v="210.42"/>
        <n v="220.4"/>
        <n v="126.88"/>
        <n v="174.8"/>
        <n v="126.84"/>
        <n v="94.08"/>
        <n v="271.46"/>
        <n v="86.35"/>
        <n v="73.29"/>
        <n v="217.84"/>
        <n v="212.58"/>
        <n v="43.94"/>
        <n v="323.51"/>
        <n v="225.3"/>
        <n v="207.2"/>
        <n v="249.69"/>
        <n v="119.79"/>
        <n v="158.92"/>
        <n v="537.08"/>
        <n v="162.82"/>
        <n v="199.68"/>
        <n v="305.8"/>
        <n v="350.64"/>
        <n v="72.59"/>
        <n v="304.48"/>
        <n v="218.27"/>
        <n v="216.92"/>
        <n v="73.05"/>
        <n v="397.32"/>
        <n v="174.48"/>
        <n v="314.5"/>
        <n v="58.35"/>
        <n v="412.2"/>
        <n v="528.09"/>
        <n v="387.87"/>
        <n v="67.5"/>
        <n v="492.96"/>
        <n v="197.0"/>
        <n v="93.61"/>
        <n v="276.0"/>
        <n v="207.3"/>
        <n v="358.57"/>
        <n v="121.68"/>
        <n v="421.68"/>
        <n v="193.5"/>
        <n v="196.7"/>
        <n v="386.75"/>
        <n v="242.4"/>
        <n v="261.74"/>
        <n v="127.0"/>
        <n v="340.2"/>
        <n v="339.75"/>
        <n v="235.18"/>
        <n v="415.75"/>
        <n v="290.1"/>
        <n v="283.32"/>
        <n v="332.1"/>
        <n v="97.74"/>
        <n v="243.2"/>
        <n v="195.4"/>
        <n v="108.78"/>
        <n v="431.4"/>
        <n v="49.6"/>
        <n v="156.42"/>
        <n v="83.97"/>
        <n v="225.6"/>
        <n v="334.78"/>
        <n v="64.0"/>
        <n v="434.72"/>
        <n v="56.43"/>
        <n v="334.8"/>
        <n v="47.28"/>
        <n v="178.64"/>
        <n v="172.5"/>
        <n v="158.3"/>
        <n v="260.82"/>
        <n v="199.8"/>
        <n v="282.21"/>
        <n v="207.23"/>
        <n v="55.2"/>
        <n v="60.94"/>
        <n v="179.4"/>
        <n v="317.26"/>
        <n v="29.28"/>
        <n v="209.16"/>
        <n v="244.4"/>
        <n v="84.97"/>
        <n v="157.32"/>
        <n v="65.76"/>
        <n v="241.12"/>
        <n v="218.4"/>
        <n v="371.07"/>
        <n v="169.92"/>
        <n v="107.58"/>
        <n v="165.0"/>
        <n v="279.0"/>
        <n v="148.0"/>
        <n v="134.82"/>
        <n v="262.99"/>
        <n v="147.0"/>
        <n v="335.07"/>
        <n v="382.14"/>
        <n v="98.6"/>
        <n v="218.5"/>
        <n v="289.57"/>
        <n v="79.75"/>
        <n v="222.48"/>
        <n v="111.43"/>
        <n v="313.74"/>
        <n v="575.07"/>
        <n v="375.76"/>
        <n v="81.2"/>
        <n v="238.77"/>
        <n v="153.7"/>
        <n v="427.92"/>
        <n v="347.3"/>
        <n v="385.83"/>
        <n v="35.55"/>
        <n v="257.26"/>
        <n v="514.17"/>
        <n v="156.06"/>
        <n v="112.29"/>
        <n v="467.0"/>
        <n v="128.0"/>
        <n v="173.4"/>
        <n v="189.2"/>
        <n v="249.27"/>
        <n v="219.15"/>
        <n v="102.52"/>
        <n v="319.8"/>
        <n v="210.6"/>
        <n v="96.39"/>
        <n v="328.32"/>
        <n v="90.53"/>
        <n v="232.8"/>
        <n v="117.04"/>
        <n v="430.04"/>
        <n v="130.62"/>
        <n v="95.5"/>
        <n v="307.06"/>
        <n v="338.4"/>
        <n v="279.6"/>
        <n v="117.78"/>
        <n v="498.15"/>
        <n v="275.4"/>
        <n v="80.36"/>
        <n v="175.75"/>
        <n v="300.0"/>
        <n v="271.88"/>
        <n v="285.12"/>
        <n v="74.91"/>
        <n v="343.62"/>
        <n v="155.4"/>
        <n v="239.7"/>
        <n v="105.17"/>
        <n v="501.12"/>
        <n v="104.72"/>
        <n v="150.1"/>
        <n v="86.9"/>
        <n v="333.54"/>
        <n v="433.62"/>
        <n v="296.25"/>
        <n v="121.22"/>
        <n v="106.7"/>
        <n v="27.94"/>
        <n v="248.3"/>
        <n v="227.36"/>
        <n v="84.56"/>
        <n v="193.43"/>
        <n v="80.3"/>
        <n v="146.16"/>
        <n v="132.0"/>
        <n v="165.96"/>
        <n v="59.9"/>
        <n v="175.56"/>
        <n v="154.1"/>
        <n v="123.12"/>
        <n v="357.2"/>
        <n v="206.4"/>
        <n v="172.98"/>
        <n v="245.96"/>
        <n v="40.8"/>
        <n v="63.6"/>
        <n v="241.2"/>
        <n v="336.24"/>
        <n v="277.78"/>
        <n v="375.06"/>
        <n v="186.0"/>
        <n v="268.8"/>
        <n v="238.68"/>
        <n v="72.82"/>
        <n v="278.46"/>
        <n v="338.52"/>
        <n v="479.5"/>
        <n v="88.8"/>
        <n v="103.5"/>
        <n v="118.3"/>
        <n v="221.75"/>
        <n v="241.22"/>
        <n v="98.91"/>
        <n v="244.53"/>
        <n v="63.12"/>
        <n v="333.6"/>
        <n v="259.59"/>
        <n v="439.76"/>
        <n v="66.69"/>
        <n v="130.32"/>
        <n v="202.44"/>
        <n v="30.94"/>
        <n v="91.91"/>
        <n v="178.05"/>
        <n v="494.78"/>
        <n v="160.25"/>
        <n v="233.86"/>
        <n v="145.2"/>
        <n v="85.12"/>
        <n v="119.5"/>
        <n v="231.66"/>
        <n v="487.25"/>
        <n v="276.99"/>
        <n v="31.35"/>
        <n v="389.4"/>
        <n v="304.81"/>
        <n v="261.6"/>
        <n v="239.28"/>
        <n v="76.44"/>
        <n v="593.1"/>
        <n v="533.6"/>
        <n v="301.08"/>
        <n v="134.94"/>
        <n v="359.04"/>
        <n v="89.9"/>
        <n v="70.2"/>
        <n v="147.48"/>
        <n v="54.74"/>
        <n v="396.75"/>
        <n v="473.5"/>
        <n v="237.12"/>
        <n v="576.0"/>
        <n v="42.56"/>
        <n v="355.6"/>
        <n v="157.19"/>
        <n v="162.4"/>
        <n v="73.72"/>
        <n v="136.84"/>
        <n v="161.73"/>
        <n v="242.48"/>
        <n v="74.23"/>
        <n v="80.75"/>
        <n v="175.77"/>
        <n v="252.85"/>
        <n v="52.65"/>
        <n v="232.96"/>
        <n v="493.58"/>
        <n v="207.9"/>
        <n v="184.05"/>
        <n v="62.7"/>
        <n v="364.53"/>
        <n v="256.32"/>
        <n v="190.38"/>
        <n v="169.4"/>
        <n v="65.8"/>
        <n v="56.1"/>
        <n v="110.6"/>
        <n v="563.4"/>
        <n v="181.44"/>
        <n v="52.52"/>
        <n v="264.19"/>
        <n v="44.46"/>
        <n v="90.48"/>
        <n v="139.65"/>
        <n v="124.32"/>
        <n v="216.19"/>
        <n v="226.38"/>
        <n v="146.74"/>
        <n v="315.02"/>
        <n v="270.0"/>
        <n v="193.9"/>
        <n v="304.46"/>
        <n v="168.3"/>
        <n v="213.37"/>
        <n v="79.02"/>
        <n v="143.66"/>
        <n v="379.92"/>
        <n v="248.64"/>
        <n v="302.16"/>
        <n v="345.12"/>
        <n v="94.8"/>
        <n v="126.45"/>
        <n v="272.32"/>
        <n v="125.16"/>
        <n v="249.0"/>
        <n v="70.73"/>
        <n v="184.92"/>
        <n v="122.1"/>
        <n v="74.72"/>
        <n v="115.08"/>
        <n v="197.76"/>
        <n v="193.8"/>
        <n v="99.97"/>
        <n v="228.48"/>
        <n v="135.85"/>
        <n v="273.87"/>
        <n v="137.5"/>
        <n v="147.52"/>
        <n v="93.1"/>
        <n v="248.56"/>
        <n v="63.91"/>
        <n v="106.68"/>
        <n v="33.55"/>
        <n v="28.0"/>
        <n v="270.25"/>
        <n v="476.5"/>
        <n v="354.35"/>
        <n v="367.27"/>
        <n v="311.08"/>
        <n v="395.83"/>
        <n v="146.28"/>
        <n v="85.68"/>
        <n v="148.58"/>
        <n v="159.3"/>
        <n v="267.12"/>
        <n v="45.76"/>
        <n v="290.87"/>
        <n v="498.51"/>
        <n v="263.25"/>
        <n v="334.08"/>
        <n v="391.16"/>
        <n v="180.83"/>
        <n v="173.04"/>
        <n v="289.0"/>
        <n v="363.5"/>
        <n v="221.98"/>
        <n v="413.16"/>
        <n v="159.6"/>
        <n v="435.29"/>
        <n v="306.66"/>
        <n v="298.98"/>
        <n v="216.06"/>
        <n v="468.72"/>
        <n v="206.25"/>
        <n v="48.4"/>
        <n v="222.8"/>
        <n v="240.58"/>
        <n v="162.12"/>
        <n v="117.48"/>
        <n v="316.44"/>
        <n v="376.6"/>
        <n v="217.8"/>
        <n v="125.0"/>
        <n v="143.13"/>
        <n v="155.79"/>
        <n v="275.6"/>
        <n v="592.2"/>
        <n v="345.99"/>
        <n v="185.76"/>
        <n v="100.59"/>
        <n v="81.6"/>
        <n v="363.09"/>
        <n v="232.74"/>
        <n v="201.06"/>
        <n v="143.0"/>
        <n v="251.16"/>
        <n v="220.08"/>
        <n v="254.88"/>
        <n v="126.3"/>
        <n v="137.8"/>
        <n v="176.88"/>
        <n v="47.1"/>
        <n v="61.56"/>
        <n v="63.28"/>
        <n v="170.94"/>
        <n v="186.67"/>
        <n v="537.57"/>
        <n v="194.88"/>
        <n v="56.76"/>
        <n v="455.1"/>
        <n v="154.56"/>
        <n v="448.32"/>
        <n v="325.68"/>
        <n v="302.7"/>
        <n v="170.43"/>
        <n v="203.58"/>
        <n v="426.75"/>
        <n v="94.38"/>
        <n v="231.54"/>
        <n v="30.96"/>
        <n v="153.14"/>
        <n v="326.56"/>
        <n v="81.9"/>
        <n v="194.28"/>
        <n v="67.05"/>
        <n v="227.52"/>
        <n v="317.7"/>
        <n v="201.69"/>
        <n v="191.04"/>
        <n v="420.0"/>
        <n v="241.64"/>
        <n v="390.2"/>
        <n v="91.96"/>
        <n v="207.6"/>
        <n v="498.96"/>
        <n v="260.16"/>
        <n v="348.04"/>
        <n v="62.0"/>
        <n v="73.28"/>
        <n v="225.48"/>
        <n v="393.6"/>
        <n v="241.78"/>
        <n v="152.64"/>
        <n v="213.84"/>
        <n v="132.16"/>
        <n v="113.68"/>
        <n v="253.2"/>
        <n v="152.46"/>
        <n v="99.84"/>
        <n v="34.71"/>
        <n v="191.76"/>
        <n v="163.52"/>
        <n v="204.34"/>
        <n v="325.21"/>
        <n v="317.17"/>
        <n v="84.87"/>
        <n v="82.45"/>
        <n v="243.9"/>
        <n v="498.25"/>
        <n v="268.35"/>
        <n v="143.11"/>
        <n v="392.38"/>
        <n v="232.98"/>
        <n v="133.8"/>
        <n v="122.87"/>
        <n v="27.28"/>
        <n v="184.0"/>
        <n v="180.73"/>
        <n v="63.0"/>
        <n v="374.14"/>
        <n v="73.0"/>
        <n v="128.16"/>
        <n v="121.6"/>
        <n v="119.7"/>
        <n v="328.12"/>
        <n v="204.84"/>
        <n v="234.46"/>
        <n v="180.5"/>
        <n v="312.9"/>
        <n v="274.2"/>
        <n v="163.46"/>
        <n v="210.34"/>
        <n v="133.86"/>
        <n v="140.7"/>
        <n v="57.2"/>
        <n v="405.72"/>
        <n v="280.56"/>
        <n v="71.36"/>
        <n v="191.5"/>
        <n v="183.6"/>
        <n v="72.96"/>
        <n v="230.58"/>
        <n v="203.04"/>
        <n v="202.92"/>
        <n v="316.6"/>
        <n v="216.3"/>
        <n v="144.16"/>
        <n v="101.66"/>
        <n v="261.24"/>
        <n v="226.2"/>
        <n v="295.8"/>
        <n v="67.9"/>
        <n v="407.16"/>
        <n v="558.6"/>
        <n v="484.25"/>
        <n v="146.3"/>
        <n v="102.78"/>
        <n v="194.0"/>
        <n v="177.92"/>
        <n v="209.95"/>
        <n v="79.9"/>
        <n v="35.28"/>
        <n v="251.24"/>
        <n v="86.22"/>
        <n v="129.72"/>
        <n v="326.4"/>
        <n v="329.04"/>
        <n v="133.68"/>
        <n v="160.05"/>
        <n v="301.89"/>
        <n v="269.41"/>
        <n v="362.04"/>
        <n v="315.4"/>
        <n v="73.22"/>
        <n v="279.12"/>
        <n v="502.5"/>
        <n v="225.04"/>
        <n v="359.5"/>
        <n v="385.92"/>
        <n v="112.42"/>
        <n v="268.84"/>
        <n v="193.4"/>
        <n v="41.8"/>
        <n v="405.75"/>
        <n v="472.42"/>
        <n v="317.04"/>
        <n v="160.31"/>
        <n v="269.46"/>
        <n v="434.98"/>
        <n v="68.6"/>
        <n v="238.95"/>
        <n v="103.18"/>
        <n v="446.31"/>
        <n v="61.54"/>
        <n v="61.53"/>
        <n v="236.34"/>
        <n v="501.7"/>
        <n v="37.8"/>
        <n v="296.92"/>
        <n v="74.76"/>
        <n v="337.22"/>
        <n v="342.0"/>
        <n v="500.4"/>
        <n v="478.52"/>
        <n v="85.25"/>
        <n v="115.17"/>
        <n v="196.5"/>
        <n v="214.24"/>
        <n v="200.26"/>
        <n v="47.46"/>
        <n v="96.0"/>
        <n v="308.66"/>
        <n v="75.0"/>
        <n v="132.6"/>
        <n v="210.99"/>
        <n v="36.01"/>
        <n v="113.61"/>
        <n v="84.21"/>
        <n v="71.4"/>
        <n v="180.88"/>
        <n v="398.86"/>
        <n v="258.02"/>
        <n v="108.63"/>
        <n v="43.44"/>
        <n v="284.76"/>
        <n v="257.01"/>
        <n v="145.42"/>
        <n v="219.45"/>
        <n v="456.32"/>
        <n v="97.02"/>
        <n v="50.72"/>
        <n v="489.75"/>
        <n v="142.89"/>
        <n v="471.64"/>
        <n v="182.65"/>
        <n v="204.93"/>
        <n v="169.56"/>
        <n v="63.72"/>
        <n v="32.9"/>
        <n v="86.7"/>
        <n v="192.48"/>
        <n v="559.8"/>
        <n v="369.46"/>
        <n v="284.2"/>
        <n v="109.34"/>
        <n v="45.6"/>
        <n v="189.97"/>
        <n v="147.6"/>
        <n v="280.63"/>
        <n v="99.0"/>
        <n v="395.78"/>
        <n v="225.81"/>
        <n v="253.46"/>
        <n v="146.51"/>
        <n v="466.02"/>
        <n v="396.9"/>
        <n v="241.95"/>
        <n v="271.49"/>
        <n v="332.64"/>
        <n v="293.16"/>
        <n v="26.8"/>
        <n v="245.29"/>
        <n v="532.2"/>
        <n v="206.58"/>
        <n v="65.11"/>
        <n v="413.91"/>
        <n v="240.48"/>
        <n v="104.55"/>
        <n v="146.38"/>
        <n v="101.65"/>
        <n v="114.84"/>
        <n v="60.5"/>
        <n v="151.74"/>
        <n v="232.54"/>
        <n v="211.68"/>
        <n v="271.2"/>
        <n v="169.94"/>
        <n v="308.0"/>
        <n v="222.56"/>
        <n v="137.08"/>
        <n v="143.29"/>
        <n v="379.27"/>
        <n v="35.86"/>
        <n v="248.55"/>
        <n v="68.88"/>
        <n v="138.04"/>
        <n v="319.75"/>
        <n v="226.95"/>
        <n v="291.6"/>
        <n v="194.87"/>
        <n v="60.06"/>
        <n v="315.1"/>
        <n v="200.48"/>
        <n v="114.41"/>
        <n v="93.08"/>
        <n v="277.61"/>
        <n v="128.25"/>
        <n v="292.57"/>
        <n v="482.76"/>
        <n v="147.98"/>
        <n v="56.56"/>
        <n v="133.6"/>
        <n v="245.1"/>
        <n v="153.4"/>
        <n v="150.48"/>
        <n v="99.36"/>
        <n v="229.08"/>
        <n v="48.99"/>
        <n v="123.24"/>
        <n v="404.88"/>
        <n v="234.03"/>
        <n v="77.28"/>
        <n v="167.72"/>
        <n v="174.0"/>
        <n v="232.58"/>
        <n v="86.67"/>
        <n v="349.8"/>
        <n v="207.1"/>
        <n v="80.08"/>
        <n v="126.73"/>
        <n v="362.88"/>
        <n v="279.8"/>
        <n v="168.63"/>
        <n v="181.71"/>
        <n v="167.62"/>
        <n v="189.43"/>
        <n v="263.9"/>
        <n v="191.23"/>
        <n v="269.76"/>
        <n v="244.34"/>
        <n v="396.06"/>
        <n v="33.1"/>
        <n v="411.18"/>
        <n v="323.93"/>
        <n v="88.4"/>
        <n v="250.02"/>
        <n v="363.6"/>
        <n v="174.3"/>
        <n v="37.18"/>
        <n v="94.6"/>
        <n v="128.7"/>
        <n v="290.92"/>
        <n v="183.17"/>
        <n v="282.6"/>
        <n v="88.32"/>
        <n v="236.64"/>
        <n v="149.1"/>
        <n v="459.68"/>
        <n v="225.42"/>
        <n v="191.52"/>
        <n v="224.48"/>
        <n v="93.0"/>
        <n v="331.1"/>
        <n v="108.3"/>
        <n v="145.08"/>
        <n v="144.4"/>
        <n v="202.8"/>
        <n v="202.86"/>
        <n v="275.73"/>
        <n v="250.2"/>
        <n v="164.6"/>
        <n v="379.62"/>
        <n v="199.54"/>
        <n v="91.08"/>
        <n v="415.48"/>
        <n v="305.5"/>
        <n v="56.68"/>
        <n v="270.2"/>
        <n v="94.32"/>
        <n v="95.4"/>
        <n v="166.29"/>
        <n v="323.62"/>
        <n v="366.72"/>
        <n v="116.87"/>
        <n v="137.0"/>
        <n v="444.6"/>
        <n v="223.04"/>
        <n v="342.16"/>
        <n v="133.9"/>
        <n v="297.64"/>
        <n v="505.8"/>
        <n v="180.3"/>
        <n v="262.78"/>
        <n v="240.3"/>
        <n v="154.28"/>
        <n v="262.08"/>
        <n v="363.95"/>
        <n v="302.18"/>
        <n v="162.18"/>
        <n v="84.5"/>
        <n v="316.71"/>
        <n v="99.09"/>
        <n v="162.69"/>
        <n v="368.55"/>
        <n v="283.71"/>
        <n v="342.54"/>
        <n v="225.4"/>
        <n v="153.0"/>
        <n v="167.31"/>
        <n v="451.49"/>
        <n v="239.82"/>
        <n v="131.52"/>
        <n v="53.6"/>
        <n v="156.87"/>
        <n v="163.92"/>
        <n v="293.28"/>
        <n v="387.09"/>
        <n v="113.4"/>
        <n v="293.93"/>
        <n v="145.69"/>
        <n v="472.32"/>
        <n v="392.34"/>
        <n v="203.52"/>
        <n v="320.15"/>
        <n v="285.95"/>
        <n v="469.22"/>
        <n v="341.55"/>
        <n v="279.54"/>
        <n v="54.56"/>
        <n v="315.56"/>
        <n v="54.2"/>
        <n v="186.6"/>
        <n v="270.36"/>
        <n v="291.84"/>
        <n v="227.46"/>
        <n v="174.59"/>
        <n v="150.54"/>
        <n v="214.13"/>
        <n v="124.88"/>
        <n v="376.25"/>
        <n v="103.8"/>
        <n v="425.14"/>
        <n v="393.68"/>
        <n v="51.4"/>
        <n v="187.0"/>
        <n v="313.88"/>
        <n v="188.6"/>
        <n v="225.9"/>
        <n v="489.0"/>
        <n v="42.2"/>
        <n v="381.12"/>
        <n v="187.11"/>
        <n v="208.93"/>
        <n v="176.28"/>
        <n v="68.64"/>
        <n v="61.08"/>
        <n v="230.0"/>
        <n v="208.8"/>
        <n v="103.82"/>
        <n v="33.77"/>
        <n v="95.37"/>
        <n v="227.7"/>
        <n v="41.76"/>
        <n v="405.54"/>
        <n v="123.6"/>
        <n v="181.06"/>
        <n v="180.0"/>
        <n v="380.19"/>
        <n v="201.76"/>
        <n v="349.7"/>
        <n v="441.09"/>
        <n v="126.2"/>
        <n v="114.26"/>
        <n v="39.06"/>
        <n v="225.59"/>
        <n v="43.2"/>
        <n v="347.4"/>
        <n v="256.36"/>
        <n v="186.12"/>
        <n v="58.56"/>
        <n v="351.36"/>
        <n v="109.99"/>
        <n v="98.85"/>
        <n v="53.7"/>
        <n v="396.36"/>
        <n v="37.1"/>
        <n v="27.17"/>
        <n v="561.6"/>
        <n v="434.5"/>
        <n v="308.85"/>
        <n v="233.88"/>
        <n v="154.7"/>
        <n v="224.42"/>
        <n v="165.06"/>
        <n v="196.56"/>
        <n v="149.09"/>
        <n v="220.34"/>
        <n v="469.28"/>
        <n v="452.98"/>
        <n v="138.32"/>
        <n v="191.07"/>
        <n v="374.7"/>
        <n v="119.04"/>
        <n v="271.36"/>
        <n v="89.1"/>
        <n v="92.32"/>
        <n v="104.19"/>
        <n v="238.14"/>
        <n v="194.4"/>
        <n v="378.82"/>
        <n v="139.72"/>
        <n v="278.6"/>
        <n v="471.12"/>
        <n v="230.4"/>
        <n v="477.25"/>
        <n v="137.53"/>
        <n v="175.76"/>
        <n v="83.85"/>
        <n v="130.2"/>
        <n v="148.64"/>
        <n v="314.86"/>
        <n v="60.48"/>
        <n v="251.58"/>
        <n v="176.94"/>
        <n v="186.58"/>
        <n v="214.89"/>
        <n v="43.38"/>
        <n v="492.8"/>
        <n v="380.64"/>
        <n v="170.7"/>
        <n v="358.74"/>
        <n v="372.83"/>
        <n v="507.0"/>
        <n v="143.64"/>
        <n v="353.5"/>
        <n v="157.0"/>
        <n v="213.46"/>
        <n v="343.56"/>
        <n v="78.91"/>
        <n v="209.76"/>
        <n v="422.18"/>
        <n v="353.16"/>
        <n v="230.26"/>
        <n v="176.58"/>
        <n v="228.69"/>
        <n v="101.76"/>
        <n v="188.28"/>
        <n v="138.96"/>
        <n v="127.8"/>
        <n v="350.1"/>
        <n v="118.56"/>
        <n v="283.9"/>
        <n v="293.02"/>
        <n v="231.6"/>
        <n v="429.22"/>
        <n v="375.63"/>
        <n v="588.3"/>
        <n v="115.74"/>
        <n v="107.94"/>
        <n v="45.5"/>
        <n v="109.9"/>
        <n v="222.49"/>
        <n v="218.13"/>
        <n v="39.0"/>
        <n v="438.48"/>
        <n v="313.6"/>
        <n v="475.02"/>
        <n v="269.5"/>
        <n v="426.9"/>
        <n v="56.4"/>
        <n v="140.9"/>
        <n v="36.9"/>
        <n v="242.15"/>
        <n v="131.25"/>
        <n v="133.3"/>
        <n v="151.44"/>
        <n v="168.19"/>
        <n v="384.54"/>
        <n v="552.72"/>
        <n v="335.24"/>
        <n v="168.0"/>
        <n v="38.7"/>
        <n v="92.65"/>
        <n v="214.48"/>
        <n v="178.3"/>
        <n v="30.38"/>
        <n v="85.14"/>
        <n v="229.92"/>
        <n v="136.4"/>
        <n v="92.12"/>
        <n v="130.39"/>
        <n v="165.78"/>
        <n v="135.47"/>
        <n v="96.56"/>
        <n v="279.84"/>
        <n v="458.73"/>
        <n v="65.24"/>
        <n v="288.99"/>
        <n v="123.84"/>
        <n v="136.56"/>
        <n v="334.02"/>
        <n v="264.6"/>
        <n v="200.64"/>
        <n v="111.93"/>
        <n v="598.2"/>
        <n v="358.8"/>
        <n v="107.52"/>
        <n v="309.96"/>
        <n v="227.76"/>
        <n v="214.72"/>
        <n v="106.05"/>
        <n v="67.83"/>
        <n v="154.77"/>
        <n v="70.62"/>
        <n v="110.89"/>
        <n v="265.72"/>
        <n v="283.5"/>
        <n v="187.05"/>
        <n v="548.68"/>
        <n v="127.08"/>
        <n v="241.04"/>
        <n v="144.76"/>
        <n v="83.4"/>
        <n v="301.84"/>
        <n v="392.28"/>
        <n v="47.5"/>
        <n v="529.83"/>
        <n v="308.2"/>
        <n v="184.7"/>
        <n v="43.32"/>
        <n v="225.08"/>
        <n v="132.48"/>
        <n v="179.08"/>
        <n v="144.72"/>
        <n v="81.4"/>
        <n v="204.36"/>
        <n v="318.75"/>
        <n v="570.0"/>
        <n v="217.36"/>
      </sharedItems>
    </cacheField>
    <cacheField name="Quantity" numFmtId="4">
      <sharedItems containsSemiMixedTypes="0" containsString="0" containsNumber="1" containsInteger="1">
        <n v="1.0"/>
        <n v="8.0"/>
        <n v="10.0"/>
        <n v="5.0"/>
        <n v="7.0"/>
        <n v="6.0"/>
        <n v="9.0"/>
        <n v="3.0"/>
        <n v="2.0"/>
        <n v="4.0"/>
      </sharedItems>
    </cacheField>
    <cacheField name="Month" numFmtId="0">
      <sharedItems>
        <s v="Aug"/>
        <s v="Apr"/>
        <s v="May"/>
        <s v="Jan"/>
        <s v="Mar"/>
        <s v="Nov"/>
        <s v="Feb"/>
        <s v="Jul"/>
        <s v="Sep"/>
        <s v="Dec"/>
        <s v="Oct"/>
        <s v="Jun"/>
      </sharedItems>
    </cacheField>
    <cacheField name="Month_No" numFmtId="0">
      <sharedItems containsSemiMixedTypes="0" containsString="0" containsNumber="1" containsInteger="1">
        <n v="8.0"/>
        <n v="4.0"/>
        <n v="5.0"/>
        <n v="1.0"/>
        <n v="3.0"/>
        <n v="11.0"/>
        <n v="2.0"/>
        <n v="7.0"/>
        <n v="9.0"/>
        <n v="12.0"/>
        <n v="10.0"/>
        <n v="6.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001" sheet="Sales_Data"/>
  </cacheSource>
  <cacheFields>
    <cacheField name="Date" numFmtId="164">
      <sharedItems containsSemiMixedTypes="0" containsDate="1" containsString="0">
        <d v="2025-08-28T00:00:00Z"/>
        <d v="2025-04-11T00:00:00Z"/>
        <d v="2025-05-17T00:00:00Z"/>
        <d v="2025-04-20T00:00:00Z"/>
        <d v="2025-01-21T00:00:00Z"/>
        <d v="2025-01-26T00:00:00Z"/>
        <d v="2025-01-04T00:00:00Z"/>
        <d v="2025-03-30T00:00:00Z"/>
        <d v="2025-11-26T00:00:00Z"/>
        <d v="2025-02-10T00:00:00Z"/>
        <d v="2025-07-22T00:00:00Z"/>
        <d v="2025-08-15T00:00:00Z"/>
        <d v="2025-01-03T00:00:00Z"/>
        <d v="2025-03-24T00:00:00Z"/>
        <d v="2025-07-30T00:00:00Z"/>
        <d v="2025-02-09T00:00:00Z"/>
        <d v="2025-04-16T00:00:00Z"/>
        <d v="2025-09-30T00:00:00Z"/>
        <d v="2025-01-12T00:00:00Z"/>
        <d v="2025-05-04T00:00:00Z"/>
        <d v="2025-12-08T00:00:00Z"/>
        <d v="2025-11-11T00:00:00Z"/>
        <d v="2025-05-27T00:00:00Z"/>
        <d v="2025-07-20T00:00:00Z"/>
        <d v="2025-05-21T00:00:00Z"/>
        <d v="2025-11-23T00:00:00Z"/>
        <d v="2025-05-01T00:00:00Z"/>
        <d v="2025-04-19T00:00:00Z"/>
        <d v="2025-09-24T00:00:00Z"/>
        <d v="2025-02-23T00:00:00Z"/>
        <d v="2025-08-02T00:00:00Z"/>
        <d v="2025-11-29T00:00:00Z"/>
        <d v="2025-10-09T00:00:00Z"/>
        <d v="2025-11-30T00:00:00Z"/>
        <d v="2025-12-01T00:00:00Z"/>
        <d v="2025-05-06T00:00:00Z"/>
        <d v="2025-07-11T00:00:00Z"/>
        <d v="2025-10-08T00:00:00Z"/>
        <d v="2025-01-30T00:00:00Z"/>
        <d v="2025-06-19T00:00:00Z"/>
        <d v="2025-03-10T00:00:00Z"/>
        <d v="2025-05-19T00:00:00Z"/>
        <d v="2025-02-07T00:00:00Z"/>
        <d v="2025-09-12T00:00:00Z"/>
        <d v="2025-10-26T00:00:00Z"/>
        <d v="2025-01-11T00:00:00Z"/>
        <d v="2025-04-18T00:00:00Z"/>
        <d v="2025-05-10T00:00:00Z"/>
        <d v="2025-12-03T00:00:00Z"/>
        <d v="2025-03-21T00:00:00Z"/>
        <d v="2025-03-18T00:00:00Z"/>
        <d v="2025-05-20T00:00:00Z"/>
        <d v="2025-08-29T00:00:00Z"/>
        <d v="2025-06-28T00:00:00Z"/>
        <d v="2025-09-10T00:00:00Z"/>
        <d v="2025-01-17T00:00:00Z"/>
        <d v="2025-10-14T00:00:00Z"/>
        <d v="2025-12-30T00:00:00Z"/>
        <d v="2025-01-20T00:00:00Z"/>
        <d v="2025-10-25T00:00:00Z"/>
        <d v="2025-05-07T00:00:00Z"/>
        <d v="2025-05-11T00:00:00Z"/>
        <d v="2025-01-15T00:00:00Z"/>
        <d v="2025-03-13T00:00:00Z"/>
        <d v="2025-04-05T00:00:00Z"/>
        <d v="2025-12-13T00:00:00Z"/>
        <d v="2025-07-09T00:00:00Z"/>
        <d v="2025-07-01T00:00:00Z"/>
        <d v="2025-07-10T00:00:00Z"/>
        <d v="2025-07-21T00:00:00Z"/>
        <d v="2025-07-26T00:00:00Z"/>
        <d v="2025-06-01T00:00:00Z"/>
        <d v="2025-04-06T00:00:00Z"/>
        <d v="2025-06-20T00:00:00Z"/>
        <d v="2025-02-21T00:00:00Z"/>
        <d v="2025-05-30T00:00:00Z"/>
        <d v="2025-04-28T00:00:00Z"/>
        <d v="2025-05-28T00:00:00Z"/>
        <d v="2025-04-01T00:00:00Z"/>
        <d v="2025-04-09T00:00:00Z"/>
        <d v="2025-07-14T00:00:00Z"/>
        <d v="2025-01-25T00:00:00Z"/>
        <d v="2025-03-04T00:00:00Z"/>
        <d v="2025-06-08T00:00:00Z"/>
        <d v="2025-09-06T00:00:00Z"/>
        <d v="2025-12-09T00:00:00Z"/>
        <d v="2025-12-25T00:00:00Z"/>
        <d v="2025-06-09T00:00:00Z"/>
        <d v="2025-04-29T00:00:00Z"/>
        <d v="2025-02-20T00:00:00Z"/>
        <d v="2025-06-17T00:00:00Z"/>
        <d v="2025-03-07T00:00:00Z"/>
        <d v="2025-11-06T00:00:00Z"/>
        <d v="2025-01-01T00:00:00Z"/>
        <d v="2025-09-17T00:00:00Z"/>
        <d v="2025-05-18T00:00:00Z"/>
        <d v="2025-03-27T00:00:00Z"/>
        <d v="2025-05-14T00:00:00Z"/>
        <d v="2025-11-05T00:00:00Z"/>
        <d v="2025-07-07T00:00:00Z"/>
        <d v="2025-08-10T00:00:00Z"/>
        <d v="2025-08-13T00:00:00Z"/>
        <d v="2025-03-23T00:00:00Z"/>
        <d v="2025-11-25T00:00:00Z"/>
        <d v="2025-11-09T00:00:00Z"/>
        <d v="2025-08-24T00:00:00Z"/>
        <d v="2025-03-12T00:00:00Z"/>
        <d v="2025-07-29T00:00:00Z"/>
        <d v="2025-11-07T00:00:00Z"/>
        <d v="2025-09-08T00:00:00Z"/>
        <d v="2025-07-04T00:00:00Z"/>
        <d v="2025-10-10T00:00:00Z"/>
        <d v="2025-12-27T00:00:00Z"/>
        <d v="2025-03-06T00:00:00Z"/>
        <d v="2025-07-24T00:00:00Z"/>
        <d v="2025-07-31T00:00:00Z"/>
        <d v="2025-02-14T00:00:00Z"/>
        <d v="2025-09-01T00:00:00Z"/>
        <d v="2025-03-14T00:00:00Z"/>
        <d v="2025-04-24T00:00:00Z"/>
        <d v="2025-06-10T00:00:00Z"/>
        <d v="2025-09-29T00:00:00Z"/>
        <d v="2025-09-11T00:00:00Z"/>
        <d v="2025-01-13T00:00:00Z"/>
        <d v="2025-02-25T00:00:00Z"/>
        <d v="2025-09-13T00:00:00Z"/>
        <d v="2025-12-29T00:00:00Z"/>
        <d v="2025-07-27T00:00:00Z"/>
        <d v="2025-10-12T00:00:00Z"/>
        <d v="2025-05-22T00:00:00Z"/>
        <d v="2025-04-03T00:00:00Z"/>
        <d v="2025-03-03T00:00:00Z"/>
        <d v="2025-09-02T00:00:00Z"/>
        <d v="2025-10-24T00:00:00Z"/>
        <d v="2025-07-18T00:00:00Z"/>
        <d v="2025-12-12T00:00:00Z"/>
        <d v="2025-02-02T00:00:00Z"/>
        <d v="2025-09-27T00:00:00Z"/>
        <d v="2025-11-27T00:00:00Z"/>
        <d v="2025-04-27T00:00:00Z"/>
        <d v="2025-02-18T00:00:00Z"/>
        <d v="2025-05-23T00:00:00Z"/>
        <d v="2025-08-20T00:00:00Z"/>
        <d v="2025-10-17T00:00:00Z"/>
        <d v="2025-09-22T00:00:00Z"/>
        <d v="2025-08-21T00:00:00Z"/>
        <d v="2025-12-15T00:00:00Z"/>
        <d v="2025-02-12T00:00:00Z"/>
        <d v="2025-02-24T00:00:00Z"/>
        <d v="2025-09-28T00:00:00Z"/>
        <d v="2025-02-26T00:00:00Z"/>
        <d v="2025-06-23T00:00:00Z"/>
        <d v="2025-01-14T00:00:00Z"/>
        <d v="2025-06-06T00:00:00Z"/>
        <d v="2025-01-29T00:00:00Z"/>
        <d v="2025-10-07T00:00:00Z"/>
        <d v="2025-03-31T00:00:00Z"/>
        <d v="2026-01-01T00:00:00Z"/>
        <d v="2025-08-23T00:00:00Z"/>
        <d v="2025-02-28T00:00:00Z"/>
        <d v="2025-05-05T00:00:00Z"/>
        <d v="2025-11-01T00:00:00Z"/>
        <d v="2025-06-14T00:00:00Z"/>
        <d v="2025-12-05T00:00:00Z"/>
        <d v="2025-03-01T00:00:00Z"/>
        <d v="2025-11-19T00:00:00Z"/>
        <d v="2025-06-05T00:00:00Z"/>
        <d v="2025-01-07T00:00:00Z"/>
        <d v="2025-09-14T00:00:00Z"/>
        <d v="2025-10-18T00:00:00Z"/>
        <d v="2025-08-17T00:00:00Z"/>
        <d v="2025-10-30T00:00:00Z"/>
        <d v="2025-11-16T00:00:00Z"/>
        <d v="2025-07-16T00:00:00Z"/>
        <d v="2025-11-22T00:00:00Z"/>
        <d v="2025-04-21T00:00:00Z"/>
        <d v="2025-03-02T00:00:00Z"/>
        <d v="2025-05-08T00:00:00Z"/>
        <d v="2025-11-10T00:00:00Z"/>
        <d v="2025-09-16T00:00:00Z"/>
        <d v="2025-04-23T00:00:00Z"/>
        <d v="2025-11-14T00:00:00Z"/>
        <d v="2025-08-26T00:00:00Z"/>
        <d v="2025-10-01T00:00:00Z"/>
        <d v="2025-03-22T00:00:00Z"/>
        <d v="2025-04-25T00:00:00Z"/>
        <d v="2025-10-31T00:00:00Z"/>
        <d v="2025-02-27T00:00:00Z"/>
        <d v="2025-08-01T00:00:00Z"/>
        <d v="2025-05-09T00:00:00Z"/>
        <d v="2025-09-09T00:00:00Z"/>
        <d v="2025-03-09T00:00:00Z"/>
        <d v="2025-11-04T00:00:00Z"/>
        <d v="2025-05-12T00:00:00Z"/>
        <d v="2025-04-04T00:00:00Z"/>
        <d v="2025-05-24T00:00:00Z"/>
        <d v="2025-12-10T00:00:00Z"/>
        <d v="2025-02-05T00:00:00Z"/>
        <d v="2025-09-23T00:00:00Z"/>
        <d v="2025-01-28T00:00:00Z"/>
        <d v="2025-12-07T00:00:00Z"/>
        <d v="2025-09-21T00:00:00Z"/>
        <d v="2025-10-13T00:00:00Z"/>
        <d v="2025-12-31T00:00:00Z"/>
        <d v="2025-09-03T00:00:00Z"/>
        <d v="2025-07-25T00:00:00Z"/>
        <d v="2025-03-26T00:00:00Z"/>
        <d v="2025-01-16T00:00:00Z"/>
        <d v="2025-12-02T00:00:00Z"/>
        <d v="2025-06-27T00:00:00Z"/>
        <d v="2025-09-15T00:00:00Z"/>
        <d v="2025-02-03T00:00:00Z"/>
        <d v="2025-12-14T00:00:00Z"/>
        <d v="2025-10-21T00:00:00Z"/>
        <d v="2025-05-15T00:00:00Z"/>
        <d v="2025-10-23T00:00:00Z"/>
        <d v="2025-12-21T00:00:00Z"/>
        <d v="2025-02-19T00:00:00Z"/>
        <d v="2025-08-31T00:00:00Z"/>
        <d v="2025-05-26T00:00:00Z"/>
        <d v="2025-03-15T00:00:00Z"/>
        <d v="2025-10-06T00:00:00Z"/>
        <d v="2025-03-19T00:00:00Z"/>
        <d v="2025-05-25T00:00:00Z"/>
        <d v="2025-07-15T00:00:00Z"/>
        <d v="2025-09-18T00:00:00Z"/>
        <d v="2025-06-11T00:00:00Z"/>
        <d v="2025-12-04T00:00:00Z"/>
        <d v="2025-11-17T00:00:00Z"/>
        <d v="2025-04-08T00:00:00Z"/>
        <d v="2025-11-15T00:00:00Z"/>
        <d v="2025-03-28T00:00:00Z"/>
        <d v="2025-05-16T00:00:00Z"/>
        <d v="2025-12-19T00:00:00Z"/>
        <d v="2025-08-07T00:00:00Z"/>
        <d v="2025-10-04T00:00:00Z"/>
        <d v="2025-08-14T00:00:00Z"/>
        <d v="2025-03-08T00:00:00Z"/>
        <d v="2025-04-10T00:00:00Z"/>
        <d v="2025-01-18T00:00:00Z"/>
        <d v="2025-10-11T00:00:00Z"/>
        <d v="2025-01-09T00:00:00Z"/>
        <d v="2025-11-03T00:00:00Z"/>
        <d v="2025-01-02T00:00:00Z"/>
        <d v="2025-02-17T00:00:00Z"/>
        <d v="2025-06-03T00:00:00Z"/>
        <d v="2025-09-20T00:00:00Z"/>
        <d v="2025-12-06T00:00:00Z"/>
        <d v="2025-11-18T00:00:00Z"/>
        <d v="2025-06-07T00:00:00Z"/>
        <d v="2025-11-24T00:00:00Z"/>
        <d v="2025-03-11T00:00:00Z"/>
        <d v="2025-08-09T00:00:00Z"/>
        <d v="2025-12-26T00:00:00Z"/>
        <d v="2025-01-27T00:00:00Z"/>
        <d v="2025-08-06T00:00:00Z"/>
        <d v="2025-09-26T00:00:00Z"/>
        <d v="2025-02-15T00:00:00Z"/>
        <d v="2025-09-25T00:00:00Z"/>
        <d v="2025-08-12T00:00:00Z"/>
        <d v="2025-05-03T00:00:00Z"/>
        <d v="2025-01-31T00:00:00Z"/>
        <d v="2025-08-30T00:00:00Z"/>
        <d v="2025-02-13T00:00:00Z"/>
        <d v="2025-09-19T00:00:00Z"/>
        <d v="2025-06-16T00:00:00Z"/>
        <d v="2025-11-28T00:00:00Z"/>
        <d v="2025-10-27T00:00:00Z"/>
        <d v="2025-07-17T00:00:00Z"/>
        <d v="2025-10-15T00:00:00Z"/>
        <d v="2025-12-17T00:00:00Z"/>
        <d v="2025-06-18T00:00:00Z"/>
        <d v="2025-07-08T00:00:00Z"/>
        <d v="2025-02-01T00:00:00Z"/>
        <d v="2025-09-05T00:00:00Z"/>
        <d v="2025-08-18T00:00:00Z"/>
        <d v="2025-01-24T00:00:00Z"/>
        <d v="2025-02-11T00:00:00Z"/>
        <d v="2025-04-15T00:00:00Z"/>
        <d v="2025-06-04T00:00:00Z"/>
        <d v="2025-07-03T00:00:00Z"/>
        <d v="2025-08-05T00:00:00Z"/>
        <d v="2025-02-08T00:00:00Z"/>
        <d v="2025-11-08T00:00:00Z"/>
        <d v="2025-07-13T00:00:00Z"/>
        <d v="2025-10-19T00:00:00Z"/>
        <d v="2025-10-02T00:00:00Z"/>
        <d v="2025-05-31T00:00:00Z"/>
        <d v="2025-04-26T00:00:00Z"/>
        <d v="2025-01-22T00:00:00Z"/>
        <d v="2025-06-21T00:00:00Z"/>
        <d v="2025-10-20T00:00:00Z"/>
        <d v="2025-10-22T00:00:00Z"/>
        <d v="2025-08-22T00:00:00Z"/>
        <d v="2025-02-04T00:00:00Z"/>
        <d v="2025-12-28T00:00:00Z"/>
        <d v="2025-04-07T00:00:00Z"/>
        <d v="2025-04-13T00:00:00Z"/>
        <d v="2025-04-22T00:00:00Z"/>
        <d v="2025-11-21T00:00:00Z"/>
        <d v="2025-07-12T00:00:00Z"/>
        <d v="2025-01-10T00:00:00Z"/>
        <d v="2025-01-06T00:00:00Z"/>
        <d v="2025-02-16T00:00:00Z"/>
        <d v="2025-04-17T00:00:00Z"/>
        <d v="2025-06-25T00:00:00Z"/>
        <d v="2025-05-02T00:00:00Z"/>
        <d v="2025-08-03T00:00:00Z"/>
        <d v="2025-12-22T00:00:00Z"/>
        <d v="2025-02-06T00:00:00Z"/>
        <d v="2025-04-14T00:00:00Z"/>
        <d v="2025-08-19T00:00:00Z"/>
        <d v="2025-12-18T00:00:00Z"/>
        <d v="2025-12-16T00:00:00Z"/>
        <d v="2025-12-20T00:00:00Z"/>
        <d v="2025-04-02T00:00:00Z"/>
        <d v="2025-06-26T00:00:00Z"/>
        <d v="2025-06-24T00:00:00Z"/>
        <d v="2025-03-25T00:00:00Z"/>
        <d v="2025-10-28T00:00:00Z"/>
        <d v="2025-08-27T00:00:00Z"/>
        <d v="2025-12-23T00:00:00Z"/>
        <d v="2025-10-29T00:00:00Z"/>
        <d v="2025-06-15T00:00:00Z"/>
        <d v="2025-06-30T00:00:00Z"/>
        <d v="2025-01-23T00:00:00Z"/>
        <d v="2025-06-29T00:00:00Z"/>
        <d v="2025-10-05T00:00:00Z"/>
        <d v="2025-01-05T00:00:00Z"/>
        <d v="2025-12-11T00:00:00Z"/>
        <d v="2025-07-23T00:00:00Z"/>
        <d v="2025-02-22T00:00:00Z"/>
        <d v="2025-06-02T00:00:00Z"/>
        <d v="2025-12-24T00:00:00Z"/>
        <d v="2025-01-19T00:00:00Z"/>
        <d v="2025-04-30T00:00:00Z"/>
        <d v="2025-07-19T00:00:00Z"/>
        <d v="2025-03-29T00:00:00Z"/>
        <d v="2025-05-29T00:00:00Z"/>
        <d v="2025-05-13T00:00:00Z"/>
        <d v="2025-09-07T00:00:00Z"/>
        <d v="2025-08-08T00:00:00Z"/>
        <d v="2025-07-06T00:00:00Z"/>
        <d v="2025-09-04T00:00:00Z"/>
        <d v="2025-03-05T00:00:00Z"/>
        <d v="2025-08-11T00:00:00Z"/>
        <d v="2025-10-16T00:00:00Z"/>
        <d v="2025-06-13T00:00:00Z"/>
      </sharedItems>
    </cacheField>
    <cacheField name="Product" numFmtId="0">
      <sharedItems>
        <s v="Laptop"/>
        <s v="Tablet"/>
        <s v="Chair"/>
        <s v="Phone"/>
        <s v="Table"/>
        <s v="Monitor"/>
      </sharedItems>
    </cacheField>
    <cacheField name="Category" numFmtId="0">
      <sharedItems>
        <s v="Electronics"/>
        <s v="Furniture"/>
      </sharedItems>
    </cacheField>
    <cacheField name="Region" numFmtId="0">
      <sharedItems>
        <s v="North"/>
        <s v="South"/>
        <s v="West"/>
        <s v="East"/>
      </sharedItems>
    </cacheField>
    <cacheField name="Sales" numFmtId="165">
      <sharedItems containsSemiMixedTypes="0" containsString="0" containsNumber="1" containsInteger="1">
        <n v="1868.0"/>
        <n v="950.0"/>
        <n v="1549.0"/>
        <n v="1229.0"/>
        <n v="1980.0"/>
        <n v="1139.0"/>
        <n v="420.0"/>
        <n v="1027.0"/>
        <n v="1248.0"/>
        <n v="1608.0"/>
        <n v="1271.0"/>
        <n v="1578.0"/>
        <n v="1311.0"/>
        <n v="637.0"/>
        <n v="1677.0"/>
        <n v="529.0"/>
        <n v="1776.0"/>
        <n v="320.0"/>
        <n v="1964.0"/>
        <n v="1996.0"/>
        <n v="1002.0"/>
        <n v="1160.0"/>
        <n v="488.0"/>
        <n v="874.0"/>
        <n v="906.0"/>
        <n v="672.0"/>
        <n v="1939.0"/>
        <n v="785.0"/>
        <n v="349.0"/>
        <n v="1556.0"/>
        <n v="1181.0"/>
        <n v="338.0"/>
        <n v="1903.0"/>
        <n v="1502.0"/>
        <n v="740.0"/>
        <n v="861.0"/>
        <n v="1089.0"/>
        <n v="548.0"/>
        <n v="1852.0"/>
        <n v="1163.0"/>
        <n v="832.0"/>
        <n v="1529.0"/>
        <n v="1948.0"/>
        <n v="427.0"/>
        <n v="1384.0"/>
        <n v="1679.0"/>
        <n v="748.0"/>
        <n v="487.0"/>
        <n v="1419.0"/>
        <n v="1454.0"/>
        <n v="1258.0"/>
        <n v="389.0"/>
        <n v="1374.0"/>
        <n v="1821.0"/>
        <n v="1847.0"/>
        <n v="375.0"/>
        <n v="1896.0"/>
        <n v="1970.0"/>
        <n v="407.0"/>
        <n v="1840.0"/>
        <n v="691.0"/>
        <n v="1559.0"/>
        <n v="1014.0"/>
        <n v="1506.0"/>
        <n v="1075.0"/>
        <n v="1967.0"/>
        <n v="1547.0"/>
        <n v="1616.0"/>
        <n v="1138.0"/>
        <n v="508.0"/>
        <n v="1215.0"/>
        <n v="1359.0"/>
        <n v="1069.0"/>
        <n v="1663.0"/>
        <n v="1934.0"/>
        <n v="1574.0"/>
        <n v="1230.0"/>
        <n v="543.0"/>
        <n v="1216.0"/>
        <n v="1954.0"/>
        <n v="777.0"/>
        <n v="1438.0"/>
        <n v="248.0"/>
        <n v="869.0"/>
        <n v="311.0"/>
        <n v="752.0"/>
        <n v="1762.0"/>
        <n v="256.0"/>
        <n v="1672.0"/>
        <n v="209.0"/>
        <n v="1116.0"/>
        <n v="394.0"/>
        <n v="1624.0"/>
        <n v="750.0"/>
        <n v="1583.0"/>
        <n v="1449.0"/>
        <n v="1110.0"/>
        <n v="1227.0"/>
        <n v="1219.0"/>
        <n v="368.0"/>
        <n v="554.0"/>
        <n v="690.0"/>
        <n v="1094.0"/>
        <n v="244.0"/>
        <n v="996.0"/>
        <n v="1222.0"/>
        <n v="293.0"/>
        <n v="1096.0"/>
        <n v="1456.0"/>
        <n v="1953.0"/>
        <n v="708.0"/>
        <n v="489.0"/>
        <n v="1500.0"/>
        <n v="592.0"/>
        <n v="749.0"/>
        <n v="588.0"/>
        <n v="1241.0"/>
        <n v="1737.0"/>
        <n v="340.0"/>
        <n v="1150.0"/>
        <n v="1259.0"/>
        <n v="275.0"/>
        <n v="1236.0"/>
        <n v="1013.0"/>
        <n v="1162.0"/>
        <n v="1983.0"/>
        <n v="1342.0"/>
        <n v="580.0"/>
        <n v="1137.0"/>
        <n v="1537.0"/>
        <n v="1783.0"/>
        <n v="1510.0"/>
        <n v="1429.0"/>
        <n v="237.0"/>
        <n v="1354.0"/>
        <n v="1773.0"/>
        <n v="918.0"/>
        <n v="591.0"/>
        <n v="1280.0"/>
        <n v="578.0"/>
        <n v="946.0"/>
        <n v="1187.0"/>
        <n v="1461.0"/>
        <n v="466.0"/>
        <n v="780.0"/>
        <n v="567.0"/>
        <n v="1824.0"/>
        <n v="823.0"/>
        <n v="1552.0"/>
        <n v="418.0"/>
        <n v="1654.0"/>
        <n v="933.0"/>
        <n v="955.0"/>
        <n v="1880.0"/>
        <n v="1165.0"/>
        <n v="1845.0"/>
        <n v="1377.0"/>
        <n v="574.0"/>
        <n v="703.0"/>
        <n v="1250.0"/>
        <n v="1942.0"/>
        <n v="1782.0"/>
        <n v="681.0"/>
        <n v="1494.0"/>
        <n v="1036.0"/>
        <n v="1410.0"/>
        <n v="809.0"/>
        <n v="1856.0"/>
        <n v="1501.0"/>
        <n v="395.0"/>
        <n v="1853.0"/>
        <n v="1606.0"/>
        <n v="1975.0"/>
        <n v="551.0"/>
        <n v="485.0"/>
        <n v="254.0"/>
        <n v="1910.0"/>
        <n v="302.0"/>
        <n v="667.0"/>
        <n v="730.0"/>
        <n v="522.0"/>
        <n v="660.0"/>
        <n v="922.0"/>
        <n v="599.0"/>
        <n v="627.0"/>
        <n v="670.0"/>
        <n v="1026.0"/>
        <n v="1786.0"/>
        <n v="1290.0"/>
        <n v="961.0"/>
        <n v="1892.0"/>
        <n v="240.0"/>
        <n v="318.0"/>
        <n v="804.0"/>
        <n v="1401.0"/>
        <n v="1634.0"/>
        <n v="930.0"/>
        <n v="1920.0"/>
        <n v="884.0"/>
        <n v="662.0"/>
        <n v="1071.0"/>
        <n v="1302.0"/>
        <n v="1918.0"/>
        <n v="1767.0"/>
        <n v="555.0"/>
        <n v="1035.0"/>
        <n v="910.0"/>
        <n v="887.0"/>
        <n v="1723.0"/>
        <n v="471.0"/>
        <n v="1881.0"/>
        <n v="526.0"/>
        <n v="1112.0"/>
        <n v="1527.0"/>
        <n v="1912.0"/>
        <n v="513.0"/>
        <n v="724.0"/>
        <n v="723.0"/>
        <n v="221.0"/>
        <n v="707.0"/>
        <n v="641.0"/>
        <n v="1063.0"/>
        <n v="484.0"/>
        <n v="448.0"/>
        <n v="478.0"/>
        <n v="1287.0"/>
        <n v="1949.0"/>
        <n v="1319.0"/>
        <n v="1770.0"/>
        <n v="1793.0"/>
        <n v="1308.0"/>
        <n v="1994.0"/>
        <n v="294.0"/>
        <n v="1977.0"/>
        <n v="1158.0"/>
        <n v="1038.0"/>
        <n v="1496.0"/>
        <n v="310.0"/>
        <n v="270.0"/>
        <n v="238.0"/>
        <n v="1725.0"/>
        <n v="1894.0"/>
        <n v="1482.0"/>
        <n v="266.0"/>
        <n v="1270.0"/>
        <n v="1015.0"/>
        <n v="388.0"/>
        <n v="622.0"/>
        <n v="866.0"/>
        <n v="1935.0"/>
        <n v="571.0"/>
        <n v="475.0"/>
        <n v="651.0"/>
        <n v="1945.0"/>
        <n v="351.0"/>
        <n v="1792.0"/>
        <n v="1702.0"/>
        <n v="945.0"/>
        <n v="570.0"/>
        <n v="1257.0"/>
        <n v="1068.0"/>
        <n v="1694.0"/>
        <n v="658.0"/>
        <n v="510.0"/>
        <n v="553.0"/>
        <n v="1878.0"/>
        <n v="1512.0"/>
        <n v="202.0"/>
        <n v="911.0"/>
        <n v="234.0"/>
        <n v="754.0"/>
        <n v="931.0"/>
        <n v="1617.0"/>
        <n v="1334.0"/>
        <n v="1658.0"/>
        <n v="1080.0"/>
        <n v="1385.0"/>
        <n v="1171.0"/>
        <n v="1683.0"/>
        <n v="1123.0"/>
        <n v="439.0"/>
        <n v="653.0"/>
        <n v="1184.0"/>
        <n v="474.0"/>
        <n v="843.0"/>
        <n v="447.0"/>
        <n v="1660.0"/>
        <n v="1000.0"/>
        <n v="643.0"/>
        <n v="1541.0"/>
        <n v="467.0"/>
        <n v="959.0"/>
        <n v="824.0"/>
        <n v="969.0"/>
        <n v="769.0"/>
        <n v="1904.0"/>
        <n v="1045.0"/>
        <n v="1611.0"/>
        <n v="625.0"/>
        <n v="956.0"/>
        <n v="581.0"/>
        <n v="305.0"/>
        <n v="200.0"/>
        <n v="1175.0"/>
        <n v="1906.0"/>
        <n v="1865.0"/>
        <n v="1933.0"/>
        <n v="1111.0"/>
        <n v="1721.0"/>
        <n v="476.0"/>
        <n v="646.0"/>
        <n v="885.0"/>
        <n v="1113.0"/>
        <n v="286.0"/>
        <n v="1711.0"/>
        <n v="1719.0"/>
        <n v="1053.0"/>
        <n v="1152.0"/>
        <n v="1397.0"/>
        <n v="1391.0"/>
        <n v="618.0"/>
        <n v="1156.0"/>
        <n v="1009.0"/>
        <n v="665.0"/>
        <n v="1614.0"/>
        <n v="1661.0"/>
        <n v="1662.0"/>
        <n v="1875.0"/>
        <n v="1114.0"/>
        <n v="1046.0"/>
        <n v="1351.0"/>
        <n v="979.0"/>
        <n v="1743.0"/>
        <n v="1758.0"/>
        <n v="1883.0"/>
        <n v="1210.0"/>
        <n v="500.0"/>
        <n v="1101.0"/>
        <n v="577.0"/>
        <n v="1060.0"/>
        <n v="1974.0"/>
        <n v="774.0"/>
        <n v="479.0"/>
        <n v="1911.0"/>
        <n v="862.0"/>
        <n v="1117.0"/>
        <n v="550.0"/>
        <n v="1196.0"/>
        <n v="1572.0"/>
        <n v="1593.0"/>
        <n v="842.0"/>
        <n v="1378.0"/>
        <n v="1474.0"/>
        <n v="342.0"/>
        <n v="452.0"/>
        <n v="1554.0"/>
        <n v="1697.0"/>
        <n v="1991.0"/>
        <n v="473.0"/>
        <n v="1517.0"/>
        <n v="1288.0"/>
        <n v="1357.0"/>
        <n v="897.0"/>
        <n v="1707.0"/>
        <n v="726.0"/>
        <n v="1362.0"/>
        <n v="258.0"/>
        <n v="1178.0"/>
        <n v="1256.0"/>
        <n v="390.0"/>
        <n v="1619.0"/>
        <n v="1264.0"/>
        <n v="1765.0"/>
        <n v="747.0"/>
        <n v="796.0"/>
        <n v="1750.0"/>
        <n v="863.0"/>
        <n v="1951.0"/>
        <n v="1848.0"/>
        <n v="1626.0"/>
        <n v="1582.0"/>
        <n v="620.0"/>
        <n v="458.0"/>
        <n v="1879.0"/>
        <n v="1312.0"/>
        <n v="1099.0"/>
        <n v="636.0"/>
        <n v="1188.0"/>
        <n v="472.0"/>
        <n v="812.0"/>
        <n v="844.0"/>
        <n v="624.0"/>
        <n v="267.0"/>
        <n v="1128.0"/>
        <n v="799.0"/>
        <n v="584.0"/>
        <n v="1202.0"/>
        <n v="1913.0"/>
        <n v="1379.0"/>
        <n v="369.0"/>
        <n v="1993.0"/>
        <n v="1789.0"/>
        <n v="1301.0"/>
        <n v="1706.0"/>
        <n v="1059.0"/>
        <n v="1115.0"/>
        <n v="920.0"/>
        <n v="1643.0"/>
        <n v="210.0"/>
        <n v="1439.0"/>
        <n v="712.0"/>
        <n v="608.0"/>
        <n v="399.0"/>
        <n v="1262.0"/>
        <n v="1234.0"/>
        <n v="1043.0"/>
        <n v="1828.0"/>
        <n v="743.0"/>
        <n v="1618.0"/>
        <n v="582.0"/>
        <n v="572.0"/>
        <n v="1764.0"/>
        <n v="1336.0"/>
        <n v="446.0"/>
        <n v="1915.0"/>
        <n v="1224.0"/>
        <n v="1098.0"/>
        <n v="846.0"/>
        <n v="1691.0"/>
        <n v="1545.0"/>
        <n v="901.0"/>
        <n v="391.0"/>
        <n v="1866.0"/>
        <n v="986.0"/>
        <n v="679.0"/>
        <n v="1404.0"/>
        <n v="1862.0"/>
        <n v="1937.0"/>
        <n v="776.0"/>
        <n v="1105.0"/>
        <n v="252.0"/>
        <n v="1142.0"/>
        <n v="564.0"/>
        <n v="1360.0"/>
        <n v="1371.0"/>
        <n v="1455.0"/>
        <n v="1041.0"/>
        <n v="929.0"/>
        <n v="1293.0"/>
        <n v="1577.0"/>
        <n v="523.0"/>
        <n v="1675.0"/>
        <n v="1022.0"/>
        <n v="1623.0"/>
        <n v="1817.0"/>
        <n v="1321.0"/>
        <n v="697.0"/>
        <n v="1497.0"/>
        <n v="1673.0"/>
        <n v="686.0"/>
        <n v="469.0"/>
        <n v="1539.0"/>
        <n v="362.0"/>
        <n v="1313.0"/>
        <n v="1730.0"/>
        <n v="356.0"/>
        <n v="1297.0"/>
        <n v="1900.0"/>
        <n v="1668.0"/>
        <n v="1709.0"/>
        <n v="341.0"/>
        <n v="1047.0"/>
        <n v="1965.0"/>
        <n v="1054.0"/>
        <n v="226.0"/>
        <n v="960.0"/>
        <n v="277.0"/>
        <n v="541.0"/>
        <n v="401.0"/>
        <n v="255.0"/>
        <n v="1292.0"/>
        <n v="1813.0"/>
        <n v="1843.0"/>
        <n v="639.0"/>
        <n v="516.0"/>
        <n v="1356.0"/>
        <n v="661.0"/>
        <n v="1984.0"/>
        <n v="539.0"/>
        <n v="317.0"/>
        <n v="1959.0"/>
        <n v="1299.0"/>
        <n v="1814.0"/>
        <n v="1405.0"/>
        <n v="1863.0"/>
        <n v="1413.0"/>
        <n v="531.0"/>
        <n v="329.0"/>
        <n v="289.0"/>
        <n v="1203.0"/>
        <n v="1274.0"/>
        <n v="1421.0"/>
        <n v="497.0"/>
        <n v="380.0"/>
        <n v="1727.0"/>
        <n v="492.0"/>
        <n v="1477.0"/>
        <n v="330.0"/>
        <n v="1799.0"/>
        <n v="1127.0"/>
        <n v="1726.0"/>
        <n v="1470.0"/>
        <n v="1613.0"/>
        <n v="1597.0"/>
        <n v="268.0"/>
        <n v="1291.0"/>
        <n v="1774.0"/>
        <n v="939.0"/>
        <n v="383.0"/>
        <n v="1971.0"/>
        <n v="563.0"/>
        <n v="490.0"/>
        <n v="535.0"/>
        <n v="1044.0"/>
        <n v="562.0"/>
        <n v="1057.0"/>
        <n v="1695.0"/>
        <n v="586.0"/>
        <n v="1232.0"/>
        <n v="856.0"/>
        <n v="596.0"/>
        <n v="623.0"/>
        <n v="1649.0"/>
        <n v="326.0"/>
        <n v="1657.0"/>
        <n v="1279.0"/>
        <n v="1335.0"/>
        <n v="1499.0"/>
        <n v="462.0"/>
        <n v="1370.0"/>
        <n v="1253.0"/>
        <n v="673.0"/>
        <n v="358.0"/>
        <n v="1207.0"/>
        <n v="1788.0"/>
        <n v="630.0"/>
        <n v="404.0"/>
        <n v="668.0"/>
        <n v="235.0"/>
        <n v="1534.0"/>
        <n v="1254.0"/>
        <n v="1909.0"/>
        <n v="213.0"/>
        <n v="1928.0"/>
        <n v="807.0"/>
        <n v="276.0"/>
        <n v="870.0"/>
        <n v="802.0"/>
        <n v="260.0"/>
        <n v="321.0"/>
        <n v="1166.0"/>
        <n v="1090.0"/>
        <n v="1728.0"/>
        <n v="1399.0"/>
        <n v="803.0"/>
        <n v="997.0"/>
        <n v="1471.0"/>
        <n v="1686.0"/>
        <n v="1286.0"/>
        <n v="1886.0"/>
        <n v="331.0"/>
        <n v="1958.0"/>
        <n v="680.0"/>
        <n v="926.0"/>
        <n v="1212.0"/>
        <n v="430.0"/>
        <n v="495.0"/>
        <n v="1039.0"/>
        <n v="1409.0"/>
        <n v="942.0"/>
        <n v="384.0"/>
        <n v="994.0"/>
        <n v="1768.0"/>
        <n v="867.0"/>
        <n v="1197.0"/>
        <n v="976.0"/>
        <n v="372.0"/>
        <n v="1505.0"/>
        <n v="361.0"/>
        <n v="546.0"/>
        <n v="760.0"/>
        <n v="1560.0"/>
        <n v="834.0"/>
        <n v="1998.0"/>
        <n v="759.0"/>
        <n v="1598.0"/>
        <n v="436.0"/>
        <n v="786.0"/>
        <n v="795.0"/>
        <n v="1528.0"/>
        <n v="403.0"/>
        <n v="1394.0"/>
        <n v="515.0"/>
        <n v="1803.0"/>
        <n v="1877.0"/>
        <n v="1602.0"/>
        <n v="1255.0"/>
        <n v="1042.0"/>
        <n v="954.0"/>
        <n v="325.0"/>
        <n v="367.0"/>
        <n v="1479.0"/>
        <n v="1365.0"/>
        <n v="1557.0"/>
        <n v="980.0"/>
        <n v="1963.0"/>
        <n v="1352.0"/>
        <n v="335.0"/>
        <n v="1808.0"/>
        <n v="683.0"/>
        <n v="1833.0"/>
        <n v="756.0"/>
        <n v="1729.0"/>
        <n v="857.0"/>
        <n v="1968.0"/>
        <n v="1509.0"/>
        <n v="1272.0"/>
        <n v="1685.0"/>
        <n v="1485.0"/>
        <n v="1553.0"/>
        <n v="1372.0"/>
        <n v="271.0"/>
        <n v="1536.0"/>
        <n v="1338.0"/>
        <n v="1343.0"/>
        <n v="892.0"/>
        <n v="865.0"/>
        <n v="1466.0"/>
        <n v="1687.0"/>
        <n v="1406.0"/>
        <n v="514.0"/>
        <n v="935.0"/>
        <n v="1121.0"/>
        <n v="1630.0"/>
        <n v="422.0"/>
        <n v="1588.0"/>
        <n v="1701.0"/>
        <n v="1469.0"/>
        <n v="528.0"/>
        <n v="509.0"/>
        <n v="612.0"/>
        <n v="817.0"/>
        <n v="307.0"/>
        <n v="561.0"/>
        <n v="232.0"/>
        <n v="1646.0"/>
        <n v="1653.0"/>
        <n v="1710.0"/>
        <n v="1345.0"/>
        <n v="1521.0"/>
        <n v="279.0"/>
        <n v="1327.0"/>
        <n v="1508.0"/>
        <n v="1034.0"/>
        <n v="1952.0"/>
        <n v="647.0"/>
        <n v="659.0"/>
        <n v="537.0"/>
        <n v="1468.0"/>
        <n v="371.0"/>
        <n v="247.0"/>
        <n v="1872.0"/>
        <n v="1065.0"/>
        <n v="595.0"/>
        <n v="1603.0"/>
        <n v="1179.0"/>
        <n v="702.0"/>
        <n v="877.0"/>
        <n v="958.0"/>
        <n v="1676.0"/>
        <n v="1562.0"/>
        <n v="728.0"/>
        <n v="1249.0"/>
        <n v="744.0"/>
        <n v="1696.0"/>
        <n v="810.0"/>
        <n v="453.0"/>
        <n v="882.0"/>
        <n v="1944.0"/>
        <n v="1457.0"/>
        <n v="998.0"/>
        <n v="1393.0"/>
        <n v="1812.0"/>
        <n v="676.0"/>
        <n v="645.0"/>
        <n v="1211.0"/>
        <n v="432.0"/>
        <n v="468.0"/>
        <n v="1198.0"/>
        <n v="983.0"/>
        <n v="982.0"/>
        <n v="741.0"/>
        <n v="241.0"/>
        <n v="1760.0"/>
        <n v="1464.0"/>
        <n v="1621.0"/>
        <n v="1950.0"/>
        <n v="1414.0"/>
        <n v="628.0"/>
        <n v="1642.0"/>
        <n v="1636.0"/>
        <n v="607.0"/>
        <n v="912.0"/>
        <n v="1919.0"/>
        <n v="1962.0"/>
        <n v="794.0"/>
        <n v="654.0"/>
        <n v="847.0"/>
        <n v="848.0"/>
        <n v="772.0"/>
        <n v="426.0"/>
        <n v="494.0"/>
        <n v="1670.0"/>
        <n v="1544.0"/>
        <n v="1961.0"/>
        <n v="350.0"/>
        <n v="300.0"/>
        <n v="1960.0"/>
        <n v="1827.0"/>
        <n v="1078.0"/>
        <n v="1423.0"/>
        <n v="205.0"/>
        <n v="835.0"/>
        <n v="2000.0"/>
        <n v="875.0"/>
        <n v="1333.0"/>
        <n v="631.0"/>
        <n v="1972.0"/>
        <n v="1050.0"/>
        <n v="545.0"/>
        <n v="766.0"/>
        <n v="217.0"/>
        <n v="1240.0"/>
        <n v="767.0"/>
        <n v="614.0"/>
        <n v="713.0"/>
        <n v="568.0"/>
        <n v="1699.0"/>
        <n v="1032.0"/>
        <n v="569.0"/>
        <n v="836.0"/>
        <n v="533.0"/>
        <n v="1495.0"/>
        <n v="1148.0"/>
        <n v="1898.0"/>
        <n v="505.0"/>
        <n v="1407.0"/>
        <n v="853.0"/>
        <n v="1350.0"/>
        <n v="1247.0"/>
        <n v="1048.0"/>
        <n v="695.0"/>
        <n v="250.0"/>
        <n v="1324.0"/>
        <n v="1104.0"/>
        <n v="814.0"/>
        <n v="1200.0"/>
      </sharedItems>
    </cacheField>
    <cacheField name="Profit" numFmtId="165">
      <sharedItems containsSemiMixedTypes="0" containsString="0" containsNumber="1">
        <n v="205.48"/>
        <n v="190.0"/>
        <n v="294.31"/>
        <n v="307.25"/>
        <n v="356.4"/>
        <n v="125.29"/>
        <n v="109.2"/>
        <n v="112.97"/>
        <n v="336.96"/>
        <n v="289.44"/>
        <n v="279.62"/>
        <n v="205.14"/>
        <n v="131.1"/>
        <n v="63.7"/>
        <n v="301.86"/>
        <n v="89.93"/>
        <n v="266.4"/>
        <n v="35.2"/>
        <n v="451.72"/>
        <n v="219.56"/>
        <n v="210.42"/>
        <n v="220.4"/>
        <n v="126.88"/>
        <n v="174.8"/>
        <n v="126.84"/>
        <n v="94.08"/>
        <n v="271.46"/>
        <n v="86.35"/>
        <n v="73.29"/>
        <n v="217.84"/>
        <n v="212.58"/>
        <n v="43.94"/>
        <n v="323.51"/>
        <n v="225.3"/>
        <n v="207.2"/>
        <n v="249.69"/>
        <n v="119.79"/>
        <n v="158.92"/>
        <n v="537.08"/>
        <n v="162.82"/>
        <n v="199.68"/>
        <n v="305.8"/>
        <n v="350.64"/>
        <n v="72.59"/>
        <n v="304.48"/>
        <n v="218.27"/>
        <n v="216.92"/>
        <n v="73.05"/>
        <n v="397.32"/>
        <n v="174.48"/>
        <n v="314.5"/>
        <n v="58.35"/>
        <n v="412.2"/>
        <n v="528.09"/>
        <n v="387.87"/>
        <n v="67.5"/>
        <n v="492.96"/>
        <n v="197.0"/>
        <n v="93.61"/>
        <n v="276.0"/>
        <n v="207.3"/>
        <n v="358.57"/>
        <n v="121.68"/>
        <n v="421.68"/>
        <n v="193.5"/>
        <n v="196.7"/>
        <n v="386.75"/>
        <n v="242.4"/>
        <n v="261.74"/>
        <n v="127.0"/>
        <n v="340.2"/>
        <n v="339.75"/>
        <n v="235.18"/>
        <n v="415.75"/>
        <n v="290.1"/>
        <n v="283.32"/>
        <n v="332.1"/>
        <n v="97.74"/>
        <n v="243.2"/>
        <n v="195.4"/>
        <n v="108.78"/>
        <n v="431.4"/>
        <n v="49.6"/>
        <n v="156.42"/>
        <n v="83.97"/>
        <n v="225.6"/>
        <n v="334.78"/>
        <n v="64.0"/>
        <n v="434.72"/>
        <n v="56.43"/>
        <n v="334.8"/>
        <n v="47.28"/>
        <n v="178.64"/>
        <n v="172.5"/>
        <n v="158.3"/>
        <n v="260.82"/>
        <n v="199.8"/>
        <n v="282.21"/>
        <n v="207.23"/>
        <n v="55.2"/>
        <n v="60.94"/>
        <n v="179.4"/>
        <n v="317.26"/>
        <n v="29.28"/>
        <n v="209.16"/>
        <n v="244.4"/>
        <n v="84.97"/>
        <n v="157.32"/>
        <n v="65.76"/>
        <n v="241.12"/>
        <n v="218.4"/>
        <n v="371.07"/>
        <n v="169.92"/>
        <n v="107.58"/>
        <n v="165.0"/>
        <n v="279.0"/>
        <n v="148.0"/>
        <n v="134.82"/>
        <n v="262.99"/>
        <n v="147.0"/>
        <n v="335.07"/>
        <n v="382.14"/>
        <n v="98.6"/>
        <n v="218.5"/>
        <n v="289.57"/>
        <n v="79.75"/>
        <n v="222.48"/>
        <n v="111.43"/>
        <n v="313.74"/>
        <n v="575.07"/>
        <n v="375.76"/>
        <n v="81.2"/>
        <n v="238.77"/>
        <n v="153.7"/>
        <n v="427.92"/>
        <n v="347.3"/>
        <n v="385.83"/>
        <n v="35.55"/>
        <n v="257.26"/>
        <n v="514.17"/>
        <n v="156.06"/>
        <n v="112.29"/>
        <n v="467.0"/>
        <n v="128.0"/>
        <n v="173.4"/>
        <n v="189.2"/>
        <n v="249.27"/>
        <n v="219.15"/>
        <n v="102.52"/>
        <n v="319.8"/>
        <n v="210.6"/>
        <n v="96.39"/>
        <n v="328.32"/>
        <n v="90.53"/>
        <n v="232.8"/>
        <n v="117.04"/>
        <n v="430.04"/>
        <n v="130.62"/>
        <n v="95.5"/>
        <n v="307.06"/>
        <n v="338.4"/>
        <n v="279.6"/>
        <n v="117.78"/>
        <n v="498.15"/>
        <n v="275.4"/>
        <n v="80.36"/>
        <n v="175.75"/>
        <n v="300.0"/>
        <n v="271.88"/>
        <n v="285.12"/>
        <n v="74.91"/>
        <n v="343.62"/>
        <n v="155.4"/>
        <n v="239.7"/>
        <n v="105.17"/>
        <n v="501.12"/>
        <n v="104.72"/>
        <n v="150.1"/>
        <n v="86.9"/>
        <n v="333.54"/>
        <n v="433.62"/>
        <n v="296.25"/>
        <n v="121.22"/>
        <n v="106.7"/>
        <n v="27.94"/>
        <n v="248.3"/>
        <n v="227.36"/>
        <n v="84.56"/>
        <n v="193.43"/>
        <n v="80.3"/>
        <n v="146.16"/>
        <n v="132.0"/>
        <n v="165.96"/>
        <n v="59.9"/>
        <n v="175.56"/>
        <n v="154.1"/>
        <n v="123.12"/>
        <n v="357.2"/>
        <n v="206.4"/>
        <n v="172.98"/>
        <n v="245.96"/>
        <n v="40.8"/>
        <n v="63.6"/>
        <n v="241.2"/>
        <n v="336.24"/>
        <n v="277.78"/>
        <n v="375.06"/>
        <n v="186.0"/>
        <n v="268.8"/>
        <n v="238.68"/>
        <n v="72.82"/>
        <n v="278.46"/>
        <n v="338.52"/>
        <n v="479.5"/>
        <n v="88.8"/>
        <n v="103.5"/>
        <n v="118.3"/>
        <n v="221.75"/>
        <n v="241.22"/>
        <n v="98.91"/>
        <n v="244.53"/>
        <n v="63.12"/>
        <n v="333.6"/>
        <n v="259.59"/>
        <n v="439.76"/>
        <n v="66.69"/>
        <n v="130.32"/>
        <n v="202.44"/>
        <n v="30.94"/>
        <n v="91.91"/>
        <n v="178.05"/>
        <n v="494.78"/>
        <n v="160.25"/>
        <n v="233.86"/>
        <n v="145.2"/>
        <n v="85.12"/>
        <n v="119.5"/>
        <n v="231.66"/>
        <n v="487.25"/>
        <n v="276.99"/>
        <n v="31.35"/>
        <n v="389.4"/>
        <n v="304.81"/>
        <n v="261.6"/>
        <n v="239.28"/>
        <n v="76.44"/>
        <n v="593.1"/>
        <n v="533.6"/>
        <n v="301.08"/>
        <n v="134.94"/>
        <n v="359.04"/>
        <n v="89.9"/>
        <n v="70.2"/>
        <n v="147.48"/>
        <n v="54.74"/>
        <n v="396.75"/>
        <n v="473.5"/>
        <n v="237.12"/>
        <n v="576.0"/>
        <n v="42.56"/>
        <n v="355.6"/>
        <n v="157.19"/>
        <n v="162.4"/>
        <n v="73.72"/>
        <n v="136.84"/>
        <n v="161.73"/>
        <n v="242.48"/>
        <n v="74.23"/>
        <n v="80.75"/>
        <n v="175.77"/>
        <n v="252.85"/>
        <n v="52.65"/>
        <n v="232.96"/>
        <n v="493.58"/>
        <n v="207.9"/>
        <n v="184.05"/>
        <n v="62.7"/>
        <n v="364.53"/>
        <n v="256.32"/>
        <n v="190.38"/>
        <n v="169.4"/>
        <n v="65.8"/>
        <n v="56.1"/>
        <n v="110.6"/>
        <n v="563.4"/>
        <n v="181.44"/>
        <n v="52.52"/>
        <n v="264.19"/>
        <n v="44.46"/>
        <n v="90.48"/>
        <n v="139.65"/>
        <n v="124.32"/>
        <n v="216.19"/>
        <n v="226.38"/>
        <n v="146.74"/>
        <n v="315.02"/>
        <n v="270.0"/>
        <n v="193.9"/>
        <n v="304.46"/>
        <n v="168.3"/>
        <n v="213.37"/>
        <n v="79.02"/>
        <n v="143.66"/>
        <n v="379.92"/>
        <n v="248.64"/>
        <n v="302.16"/>
        <n v="345.12"/>
        <n v="94.8"/>
        <n v="126.45"/>
        <n v="272.32"/>
        <n v="125.16"/>
        <n v="249.0"/>
        <n v="70.73"/>
        <n v="184.92"/>
        <n v="122.1"/>
        <n v="74.72"/>
        <n v="115.08"/>
        <n v="197.76"/>
        <n v="193.8"/>
        <n v="99.97"/>
        <n v="228.48"/>
        <n v="135.85"/>
        <n v="273.87"/>
        <n v="137.5"/>
        <n v="147.52"/>
        <n v="93.1"/>
        <n v="248.56"/>
        <n v="63.91"/>
        <n v="106.68"/>
        <n v="33.55"/>
        <n v="28.0"/>
        <n v="270.25"/>
        <n v="476.5"/>
        <n v="354.35"/>
        <n v="367.27"/>
        <n v="311.08"/>
        <n v="395.83"/>
        <n v="146.28"/>
        <n v="85.68"/>
        <n v="148.58"/>
        <n v="159.3"/>
        <n v="267.12"/>
        <n v="45.76"/>
        <n v="290.87"/>
        <n v="498.51"/>
        <n v="263.25"/>
        <n v="334.08"/>
        <n v="391.16"/>
        <n v="180.83"/>
        <n v="173.04"/>
        <n v="289.0"/>
        <n v="363.5"/>
        <n v="221.98"/>
        <n v="413.16"/>
        <n v="159.6"/>
        <n v="435.29"/>
        <n v="306.66"/>
        <n v="298.98"/>
        <n v="216.06"/>
        <n v="468.72"/>
        <n v="206.25"/>
        <n v="48.4"/>
        <n v="222.8"/>
        <n v="240.58"/>
        <n v="162.12"/>
        <n v="117.48"/>
        <n v="316.44"/>
        <n v="376.6"/>
        <n v="217.8"/>
        <n v="125.0"/>
        <n v="143.13"/>
        <n v="155.79"/>
        <n v="275.6"/>
        <n v="592.2"/>
        <n v="345.99"/>
        <n v="185.76"/>
        <n v="100.59"/>
        <n v="81.6"/>
        <n v="363.09"/>
        <n v="232.74"/>
        <n v="201.06"/>
        <n v="143.0"/>
        <n v="251.16"/>
        <n v="220.08"/>
        <n v="254.88"/>
        <n v="126.3"/>
        <n v="137.8"/>
        <n v="176.88"/>
        <n v="47.1"/>
        <n v="61.56"/>
        <n v="63.28"/>
        <n v="170.94"/>
        <n v="186.67"/>
        <n v="537.57"/>
        <n v="194.88"/>
        <n v="56.76"/>
        <n v="455.1"/>
        <n v="154.56"/>
        <n v="448.32"/>
        <n v="325.68"/>
        <n v="302.7"/>
        <n v="170.43"/>
        <n v="203.58"/>
        <n v="426.75"/>
        <n v="94.38"/>
        <n v="231.54"/>
        <n v="30.96"/>
        <n v="153.14"/>
        <n v="326.56"/>
        <n v="81.9"/>
        <n v="194.28"/>
        <n v="67.05"/>
        <n v="227.52"/>
        <n v="317.7"/>
        <n v="201.69"/>
        <n v="191.04"/>
        <n v="420.0"/>
        <n v="241.64"/>
        <n v="390.2"/>
        <n v="91.96"/>
        <n v="207.6"/>
        <n v="498.96"/>
        <n v="260.16"/>
        <n v="348.04"/>
        <n v="62.0"/>
        <n v="73.28"/>
        <n v="225.48"/>
        <n v="393.6"/>
        <n v="241.78"/>
        <n v="152.64"/>
        <n v="213.84"/>
        <n v="132.16"/>
        <n v="113.68"/>
        <n v="253.2"/>
        <n v="152.46"/>
        <n v="99.84"/>
        <n v="34.71"/>
        <n v="191.76"/>
        <n v="163.52"/>
        <n v="204.34"/>
        <n v="325.21"/>
        <n v="317.17"/>
        <n v="84.87"/>
        <n v="82.45"/>
        <n v="243.9"/>
        <n v="498.25"/>
        <n v="268.35"/>
        <n v="143.11"/>
        <n v="392.38"/>
        <n v="232.98"/>
        <n v="133.8"/>
        <n v="122.87"/>
        <n v="27.28"/>
        <n v="184.0"/>
        <n v="180.73"/>
        <n v="63.0"/>
        <n v="374.14"/>
        <n v="73.0"/>
        <n v="128.16"/>
        <n v="121.6"/>
        <n v="119.7"/>
        <n v="328.12"/>
        <n v="204.84"/>
        <n v="234.46"/>
        <n v="180.5"/>
        <n v="312.9"/>
        <n v="274.2"/>
        <n v="163.46"/>
        <n v="210.34"/>
        <n v="133.86"/>
        <n v="140.7"/>
        <n v="57.2"/>
        <n v="405.72"/>
        <n v="280.56"/>
        <n v="71.36"/>
        <n v="191.5"/>
        <n v="183.6"/>
        <n v="72.96"/>
        <n v="230.58"/>
        <n v="203.04"/>
        <n v="202.92"/>
        <n v="316.6"/>
        <n v="216.3"/>
        <n v="144.16"/>
        <n v="101.66"/>
        <n v="261.24"/>
        <n v="226.2"/>
        <n v="295.8"/>
        <n v="67.9"/>
        <n v="407.16"/>
        <n v="558.6"/>
        <n v="484.25"/>
        <n v="146.3"/>
        <n v="102.78"/>
        <n v="194.0"/>
        <n v="177.92"/>
        <n v="209.95"/>
        <n v="79.9"/>
        <n v="35.28"/>
        <n v="251.24"/>
        <n v="86.22"/>
        <n v="129.72"/>
        <n v="326.4"/>
        <n v="329.04"/>
        <n v="133.68"/>
        <n v="160.05"/>
        <n v="301.89"/>
        <n v="269.41"/>
        <n v="362.04"/>
        <n v="315.4"/>
        <n v="73.22"/>
        <n v="279.12"/>
        <n v="502.5"/>
        <n v="225.04"/>
        <n v="359.5"/>
        <n v="385.92"/>
        <n v="112.42"/>
        <n v="268.84"/>
        <n v="193.4"/>
        <n v="41.8"/>
        <n v="405.75"/>
        <n v="472.42"/>
        <n v="317.04"/>
        <n v="160.31"/>
        <n v="269.46"/>
        <n v="434.98"/>
        <n v="68.6"/>
        <n v="238.95"/>
        <n v="103.18"/>
        <n v="446.31"/>
        <n v="61.54"/>
        <n v="61.53"/>
        <n v="236.34"/>
        <n v="501.7"/>
        <n v="37.8"/>
        <n v="296.92"/>
        <n v="74.76"/>
        <n v="337.22"/>
        <n v="342.0"/>
        <n v="500.4"/>
        <n v="478.52"/>
        <n v="85.25"/>
        <n v="115.17"/>
        <n v="196.5"/>
        <n v="214.24"/>
        <n v="200.26"/>
        <n v="47.46"/>
        <n v="96.0"/>
        <n v="308.66"/>
        <n v="75.0"/>
        <n v="132.6"/>
        <n v="210.99"/>
        <n v="36.01"/>
        <n v="113.61"/>
        <n v="84.21"/>
        <n v="71.4"/>
        <n v="180.88"/>
        <n v="398.86"/>
        <n v="258.02"/>
        <n v="108.63"/>
        <n v="43.44"/>
        <n v="284.76"/>
        <n v="257.01"/>
        <n v="145.42"/>
        <n v="219.45"/>
        <n v="456.32"/>
        <n v="97.02"/>
        <n v="50.72"/>
        <n v="489.75"/>
        <n v="142.89"/>
        <n v="471.64"/>
        <n v="182.65"/>
        <n v="204.93"/>
        <n v="169.56"/>
        <n v="63.72"/>
        <n v="32.9"/>
        <n v="86.7"/>
        <n v="192.48"/>
        <n v="559.8"/>
        <n v="369.46"/>
        <n v="284.2"/>
        <n v="109.34"/>
        <n v="45.6"/>
        <n v="189.97"/>
        <n v="147.6"/>
        <n v="280.63"/>
        <n v="99.0"/>
        <n v="395.78"/>
        <n v="225.81"/>
        <n v="253.46"/>
        <n v="146.51"/>
        <n v="466.02"/>
        <n v="396.9"/>
        <n v="241.95"/>
        <n v="271.49"/>
        <n v="332.64"/>
        <n v="293.16"/>
        <n v="26.8"/>
        <n v="245.29"/>
        <n v="532.2"/>
        <n v="206.58"/>
        <n v="65.11"/>
        <n v="413.91"/>
        <n v="240.48"/>
        <n v="104.55"/>
        <n v="146.38"/>
        <n v="101.65"/>
        <n v="114.84"/>
        <n v="60.5"/>
        <n v="151.74"/>
        <n v="232.54"/>
        <n v="211.68"/>
        <n v="271.2"/>
        <n v="169.94"/>
        <n v="308.0"/>
        <n v="222.56"/>
        <n v="137.08"/>
        <n v="143.29"/>
        <n v="379.27"/>
        <n v="35.86"/>
        <n v="248.55"/>
        <n v="68.88"/>
        <n v="138.04"/>
        <n v="319.75"/>
        <n v="226.95"/>
        <n v="291.6"/>
        <n v="194.87"/>
        <n v="60.06"/>
        <n v="315.1"/>
        <n v="200.48"/>
        <n v="114.41"/>
        <n v="93.08"/>
        <n v="277.61"/>
        <n v="128.25"/>
        <n v="292.57"/>
        <n v="482.76"/>
        <n v="147.98"/>
        <n v="56.56"/>
        <n v="133.6"/>
        <n v="245.1"/>
        <n v="153.4"/>
        <n v="150.48"/>
        <n v="99.36"/>
        <n v="229.08"/>
        <n v="48.99"/>
        <n v="123.24"/>
        <n v="404.88"/>
        <n v="234.03"/>
        <n v="77.28"/>
        <n v="167.72"/>
        <n v="174.0"/>
        <n v="232.58"/>
        <n v="86.67"/>
        <n v="349.8"/>
        <n v="207.1"/>
        <n v="80.08"/>
        <n v="126.73"/>
        <n v="362.88"/>
        <n v="279.8"/>
        <n v="168.63"/>
        <n v="181.71"/>
        <n v="167.62"/>
        <n v="189.43"/>
        <n v="263.9"/>
        <n v="191.23"/>
        <n v="269.76"/>
        <n v="244.34"/>
        <n v="396.06"/>
        <n v="33.1"/>
        <n v="411.18"/>
        <n v="323.93"/>
        <n v="88.4"/>
        <n v="250.02"/>
        <n v="363.6"/>
        <n v="174.3"/>
        <n v="37.18"/>
        <n v="94.6"/>
        <n v="128.7"/>
        <n v="290.92"/>
        <n v="183.17"/>
        <n v="282.6"/>
        <n v="88.32"/>
        <n v="236.64"/>
        <n v="149.1"/>
        <n v="459.68"/>
        <n v="225.42"/>
        <n v="191.52"/>
        <n v="224.48"/>
        <n v="93.0"/>
        <n v="331.1"/>
        <n v="108.3"/>
        <n v="145.08"/>
        <n v="144.4"/>
        <n v="202.8"/>
        <n v="202.86"/>
        <n v="275.73"/>
        <n v="250.2"/>
        <n v="164.6"/>
        <n v="379.62"/>
        <n v="199.54"/>
        <n v="91.08"/>
        <n v="415.48"/>
        <n v="305.5"/>
        <n v="56.68"/>
        <n v="270.2"/>
        <n v="94.32"/>
        <n v="95.4"/>
        <n v="166.29"/>
        <n v="323.62"/>
        <n v="366.72"/>
        <n v="116.87"/>
        <n v="137.0"/>
        <n v="444.6"/>
        <n v="223.04"/>
        <n v="342.16"/>
        <n v="133.9"/>
        <n v="297.64"/>
        <n v="505.8"/>
        <n v="180.3"/>
        <n v="262.78"/>
        <n v="240.3"/>
        <n v="154.28"/>
        <n v="262.08"/>
        <n v="363.95"/>
        <n v="302.18"/>
        <n v="162.18"/>
        <n v="84.5"/>
        <n v="316.71"/>
        <n v="99.09"/>
        <n v="162.69"/>
        <n v="368.55"/>
        <n v="283.71"/>
        <n v="342.54"/>
        <n v="225.4"/>
        <n v="153.0"/>
        <n v="167.31"/>
        <n v="451.49"/>
        <n v="239.82"/>
        <n v="131.52"/>
        <n v="53.6"/>
        <n v="156.87"/>
        <n v="163.92"/>
        <n v="293.28"/>
        <n v="387.09"/>
        <n v="113.4"/>
        <n v="293.93"/>
        <n v="145.69"/>
        <n v="472.32"/>
        <n v="392.34"/>
        <n v="203.52"/>
        <n v="320.15"/>
        <n v="285.95"/>
        <n v="469.22"/>
        <n v="341.55"/>
        <n v="279.54"/>
        <n v="54.56"/>
        <n v="315.56"/>
        <n v="54.2"/>
        <n v="186.6"/>
        <n v="270.36"/>
        <n v="291.84"/>
        <n v="227.46"/>
        <n v="174.59"/>
        <n v="150.54"/>
        <n v="214.13"/>
        <n v="124.88"/>
        <n v="376.25"/>
        <n v="103.8"/>
        <n v="425.14"/>
        <n v="393.68"/>
        <n v="51.4"/>
        <n v="187.0"/>
        <n v="313.88"/>
        <n v="188.6"/>
        <n v="225.9"/>
        <n v="489.0"/>
        <n v="42.2"/>
        <n v="381.12"/>
        <n v="187.11"/>
        <n v="208.93"/>
        <n v="176.28"/>
        <n v="68.64"/>
        <n v="61.08"/>
        <n v="230.0"/>
        <n v="208.8"/>
        <n v="103.82"/>
        <n v="33.77"/>
        <n v="95.37"/>
        <n v="227.7"/>
        <n v="41.76"/>
        <n v="405.54"/>
        <n v="123.6"/>
        <n v="181.06"/>
        <n v="180.0"/>
        <n v="380.19"/>
        <n v="201.76"/>
        <n v="349.7"/>
        <n v="441.09"/>
        <n v="126.2"/>
        <n v="114.26"/>
        <n v="39.06"/>
        <n v="225.59"/>
        <n v="43.2"/>
        <n v="347.4"/>
        <n v="256.36"/>
        <n v="186.12"/>
        <n v="58.56"/>
        <n v="351.36"/>
        <n v="109.99"/>
        <n v="98.85"/>
        <n v="53.7"/>
        <n v="396.36"/>
        <n v="37.1"/>
        <n v="27.17"/>
        <n v="561.6"/>
        <n v="434.5"/>
        <n v="308.85"/>
        <n v="233.88"/>
        <n v="154.7"/>
        <n v="224.42"/>
        <n v="165.06"/>
        <n v="196.56"/>
        <n v="149.09"/>
        <n v="220.34"/>
        <n v="469.28"/>
        <n v="452.98"/>
        <n v="138.32"/>
        <n v="191.07"/>
        <n v="374.7"/>
        <n v="119.04"/>
        <n v="271.36"/>
        <n v="89.1"/>
        <n v="92.32"/>
        <n v="104.19"/>
        <n v="238.14"/>
        <n v="194.4"/>
        <n v="378.82"/>
        <n v="139.72"/>
        <n v="278.6"/>
        <n v="471.12"/>
        <n v="230.4"/>
        <n v="477.25"/>
        <n v="137.53"/>
        <n v="175.76"/>
        <n v="83.85"/>
        <n v="130.2"/>
        <n v="148.64"/>
        <n v="314.86"/>
        <n v="60.48"/>
        <n v="251.58"/>
        <n v="176.94"/>
        <n v="186.58"/>
        <n v="214.89"/>
        <n v="43.38"/>
        <n v="492.8"/>
        <n v="380.64"/>
        <n v="170.7"/>
        <n v="358.74"/>
        <n v="372.83"/>
        <n v="507.0"/>
        <n v="143.64"/>
        <n v="353.5"/>
        <n v="157.0"/>
        <n v="213.46"/>
        <n v="343.56"/>
        <n v="78.91"/>
        <n v="209.76"/>
        <n v="422.18"/>
        <n v="353.16"/>
        <n v="230.26"/>
        <n v="176.58"/>
        <n v="228.69"/>
        <n v="101.76"/>
        <n v="188.28"/>
        <n v="138.96"/>
        <n v="127.8"/>
        <n v="350.1"/>
        <n v="118.56"/>
        <n v="283.9"/>
        <n v="293.02"/>
        <n v="231.6"/>
        <n v="429.22"/>
        <n v="375.63"/>
        <n v="588.3"/>
        <n v="115.74"/>
        <n v="107.94"/>
        <n v="45.5"/>
        <n v="109.9"/>
        <n v="222.49"/>
        <n v="218.13"/>
        <n v="39.0"/>
        <n v="438.48"/>
        <n v="313.6"/>
        <n v="475.02"/>
        <n v="269.5"/>
        <n v="426.9"/>
        <n v="56.4"/>
        <n v="140.9"/>
        <n v="36.9"/>
        <n v="242.15"/>
        <n v="131.25"/>
        <n v="133.3"/>
        <n v="151.44"/>
        <n v="168.19"/>
        <n v="384.54"/>
        <n v="552.72"/>
        <n v="335.24"/>
        <n v="168.0"/>
        <n v="38.7"/>
        <n v="92.65"/>
        <n v="214.48"/>
        <n v="178.3"/>
        <n v="30.38"/>
        <n v="85.14"/>
        <n v="229.92"/>
        <n v="136.4"/>
        <n v="92.12"/>
        <n v="130.39"/>
        <n v="165.78"/>
        <n v="135.47"/>
        <n v="96.56"/>
        <n v="279.84"/>
        <n v="458.73"/>
        <n v="65.24"/>
        <n v="288.99"/>
        <n v="123.84"/>
        <n v="136.56"/>
        <n v="334.02"/>
        <n v="264.6"/>
        <n v="200.64"/>
        <n v="111.93"/>
        <n v="598.2"/>
        <n v="358.8"/>
        <n v="107.52"/>
        <n v="309.96"/>
        <n v="227.76"/>
        <n v="214.72"/>
        <n v="106.05"/>
        <n v="67.83"/>
        <n v="154.77"/>
        <n v="70.62"/>
        <n v="110.89"/>
        <n v="265.72"/>
        <n v="283.5"/>
        <n v="187.05"/>
        <n v="548.68"/>
        <n v="127.08"/>
        <n v="241.04"/>
        <n v="144.76"/>
        <n v="83.4"/>
        <n v="301.84"/>
        <n v="392.28"/>
        <n v="47.5"/>
        <n v="529.83"/>
        <n v="308.2"/>
        <n v="184.7"/>
        <n v="43.32"/>
        <n v="225.08"/>
        <n v="132.48"/>
        <n v="179.08"/>
        <n v="144.72"/>
        <n v="81.4"/>
        <n v="204.36"/>
        <n v="318.75"/>
        <n v="570.0"/>
        <n v="217.36"/>
      </sharedItems>
    </cacheField>
    <cacheField name="Quantity" numFmtId="4">
      <sharedItems containsSemiMixedTypes="0" containsString="0" containsNumber="1" containsInteger="1">
        <n v="1.0"/>
        <n v="8.0"/>
        <n v="10.0"/>
        <n v="5.0"/>
        <n v="7.0"/>
        <n v="6.0"/>
        <n v="9.0"/>
        <n v="3.0"/>
        <n v="2.0"/>
        <n v="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6" cacheId="0" dataCaption="" compact="0" compactData="0">
  <location ref="A1:B8"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roduct" axis="axisRow" compact="0" outline="0" multipleItemSelectionAllowed="1" showAll="0" sortType="descending">
      <items>
        <item x="0"/>
        <item x="1"/>
        <item x="2"/>
        <item x="3"/>
        <item x="4"/>
        <item x="5"/>
        <item t="default"/>
      </items>
      <autoSortScope>
        <pivotArea>
          <references>
            <reference field="4294967294">
              <x v="0"/>
            </reference>
          </references>
        </pivotArea>
      </autoSortScope>
    </pivotField>
    <pivotField name="Category" compact="0" outline="0" multipleItemSelectionAllowed="1" showAll="0">
      <items>
        <item x="0"/>
        <item x="1"/>
        <item t="default"/>
      </items>
    </pivotField>
    <pivotField name="Region" compact="0" outline="0" multipleItemSelectionAllowed="1" showAll="0">
      <items>
        <item x="0"/>
        <item x="1"/>
        <item x="2"/>
        <item x="3"/>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t="default"/>
      </items>
    </pivotField>
    <pivotField name="Quantity" compact="0" numFmtId="4" outline="0" multipleItemSelectionAllowed="1" showAll="0">
      <items>
        <item x="0"/>
        <item x="1"/>
        <item x="2"/>
        <item x="3"/>
        <item x="4"/>
        <item x="5"/>
        <item x="6"/>
        <item x="7"/>
        <item x="8"/>
        <item x="9"/>
        <item t="default"/>
      </items>
    </pivotField>
    <pivotField name="Month" compact="0" outline="0" multipleItemSelectionAllowed="1" showAll="0">
      <items>
        <item x="0"/>
        <item x="1"/>
        <item x="2"/>
        <item x="3"/>
        <item x="4"/>
        <item x="5"/>
        <item x="6"/>
        <item x="7"/>
        <item x="8"/>
        <item x="9"/>
        <item x="10"/>
        <item x="11"/>
        <item t="default"/>
      </items>
    </pivotField>
    <pivotField name="Month_No" compact="0" outline="0" multipleItemSelectionAllowed="1" showAll="0">
      <items>
        <item x="0"/>
        <item x="1"/>
        <item x="2"/>
        <item x="3"/>
        <item x="4"/>
        <item x="5"/>
        <item x="6"/>
        <item x="7"/>
        <item x="8"/>
        <item x="9"/>
        <item x="10"/>
        <item x="11"/>
        <item t="default"/>
      </items>
    </pivotField>
  </pivotFields>
  <rowFields>
    <field x="1"/>
  </rowFields>
  <dataFields>
    <dataField name="SUM of Sales" fld="4" baseField="0"/>
  </dataFields>
</pivotTableDefinition>
</file>

<file path=xl/pivotTables/pivotTable2.xml><?xml version="1.0" encoding="utf-8"?>
<pivotTableDefinition xmlns="http://schemas.openxmlformats.org/spreadsheetml/2006/main" name="Pivot Table 4" cacheId="0" dataCaption="" rowGrandTotals="0" compact="0" compactData="0">
  <location ref="A1:C13"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roduct" compact="0" outline="0" multipleItemSelectionAllowed="1" showAll="0">
      <items>
        <item x="0"/>
        <item x="1"/>
        <item x="2"/>
        <item x="3"/>
        <item x="4"/>
        <item x="5"/>
        <item t="default"/>
      </items>
    </pivotField>
    <pivotField name="Category" compact="0" outline="0" multipleItemSelectionAllowed="1" showAll="0">
      <items>
        <item x="0"/>
        <item x="1"/>
        <item t="default"/>
      </items>
    </pivotField>
    <pivotField name="Region" compact="0" outline="0" multipleItemSelectionAllowed="1" showAll="0">
      <items>
        <item x="0"/>
        <item x="1"/>
        <item x="2"/>
        <item x="3"/>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t="default"/>
      </items>
    </pivotField>
    <pivotField name="Quantity" compact="0" numFmtId="4" outline="0" multipleItemSelectionAllowed="1" showAll="0">
      <items>
        <item x="0"/>
        <item x="1"/>
        <item x="2"/>
        <item x="3"/>
        <item x="4"/>
        <item x="5"/>
        <item x="6"/>
        <item x="7"/>
        <item x="8"/>
        <item x="9"/>
        <item t="default"/>
      </items>
    </pivotField>
    <pivotField name="Month" axis="axisRow" compact="0" outline="0" multipleItemSelectionAllowed="1" showAll="0" sortType="ascending">
      <items>
        <item x="1"/>
        <item x="0"/>
        <item x="9"/>
        <item x="6"/>
        <item x="3"/>
        <item x="7"/>
        <item x="11"/>
        <item x="4"/>
        <item x="2"/>
        <item x="5"/>
        <item x="10"/>
        <item x="8"/>
        <item t="default"/>
      </items>
    </pivotField>
    <pivotField name="Month_No" axis="axisRow" compact="0" outline="0" multipleItemSelectionAllowed="1" showAll="0" sortType="ascending" defaultSubtotal="0">
      <items>
        <item x="3"/>
        <item x="6"/>
        <item x="4"/>
        <item x="1"/>
        <item x="2"/>
        <item x="11"/>
        <item x="7"/>
        <item x="0"/>
        <item x="8"/>
        <item x="10"/>
        <item x="5"/>
        <item x="9"/>
      </items>
    </pivotField>
  </pivotFields>
  <rowFields>
    <field x="8"/>
    <field x="7"/>
  </rowFields>
  <dataFields>
    <dataField name="SUM of Sales" fld="4" baseField="0"/>
  </dataFields>
</pivotTableDefinition>
</file>

<file path=xl/pivotTables/pivotTable3.xml><?xml version="1.0" encoding="utf-8"?>
<pivotTableDefinition xmlns="http://schemas.openxmlformats.org/spreadsheetml/2006/main" name="Pivot Table 1" cacheId="1" dataCaption="" rowGrandTotals="0" compact="0" compactData="0">
  <location ref="A1:B5"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roduct" compact="0" outline="0" multipleItemSelectionAllowed="1" showAll="0">
      <items>
        <item x="0"/>
        <item x="1"/>
        <item x="2"/>
        <item x="3"/>
        <item x="4"/>
        <item x="5"/>
        <item t="default"/>
      </items>
    </pivotField>
    <pivotField name="Category" compact="0" outline="0" multipleItemSelectionAllowed="1" showAll="0">
      <items>
        <item x="0"/>
        <item x="1"/>
        <item t="default"/>
      </items>
    </pivotField>
    <pivotField name="Region" axis="axisRow" compact="0" outline="0" multipleItemSelectionAllowed="1" showAll="0" sortType="ascending">
      <items>
        <item x="3"/>
        <item x="0"/>
        <item x="1"/>
        <item x="2"/>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t="default"/>
      </items>
    </pivotField>
    <pivotField name="Quantity" compact="0" numFmtId="4" outline="0" multipleItemSelectionAllowed="1" showAll="0">
      <items>
        <item x="0"/>
        <item x="1"/>
        <item x="2"/>
        <item x="3"/>
        <item x="4"/>
        <item x="5"/>
        <item x="6"/>
        <item x="7"/>
        <item x="8"/>
        <item x="9"/>
        <item t="default"/>
      </items>
    </pivotField>
  </pivotFields>
  <rowFields>
    <field x="3"/>
  </rowFields>
  <dataFields>
    <dataField name="SUM of Sales"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Product">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ategory">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3" caption="Category"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2" cache="SlicerCache_Table_1_Col_4" caption="Region" rowHeight="247650"/>
  <x14:slicer name="Product_3" cache="SlicerCache_Table_1_Col_2" caption="Product" rowHeight="247650"/>
  <x14:slicer name="Category_4" cache="SlicerCache_Table_1_Col_3" caption="Category" rowHeight="247650"/>
</x14:slicers>
</file>

<file path=xl/tables/table1.xml><?xml version="1.0" encoding="utf-8"?>
<table xmlns="http://schemas.openxmlformats.org/spreadsheetml/2006/main" ref="A1:H1001" displayName="Table_1" name="Table_1" id="1">
  <autoFilter ref="$A$1:$H$1001"/>
  <tableColumns count="8">
    <tableColumn name="Date" id="1"/>
    <tableColumn name="Product" id="2"/>
    <tableColumn name="Category" id="3"/>
    <tableColumn name="Region" id="4"/>
    <tableColumn name="Sales" id="5"/>
    <tableColumn name="Profit" id="6"/>
    <tableColumn name="Quantity" id="7"/>
    <tableColumn name="Month"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3" t="s">
        <v>4</v>
      </c>
      <c r="F1" s="3" t="s">
        <v>5</v>
      </c>
      <c r="G1" s="4" t="s">
        <v>6</v>
      </c>
      <c r="H1" s="5" t="s">
        <v>7</v>
      </c>
      <c r="I1" s="5" t="s">
        <v>8</v>
      </c>
    </row>
    <row r="2">
      <c r="A2" s="6">
        <f t="shared" ref="A2:A1001" si="1">DATE(2025,1,1)+RANDBETWEEN(0,365)</f>
        <v>45897</v>
      </c>
      <c r="B2" s="7" t="str">
        <f t="shared" ref="B2:B1001" si="2">INDEX({"Laptop","Phone","Tablet","Chair","Table","Monitor"},RANDBETWEEN(1,6))</f>
        <v>Laptop</v>
      </c>
      <c r="C2" s="7" t="str">
        <f t="shared" ref="C2:C1001" si="3">IF(OR(B2="Laptop",B2="Phone",B2="Tablet",B2="Monitor"),"Electronics","Furniture")</f>
        <v>Electronics</v>
      </c>
      <c r="D2" s="7" t="str">
        <f t="shared" ref="D2:D1001" si="4">INDEX({"North","South","East","West"},RANDBETWEEN(1,4))</f>
        <v>North</v>
      </c>
      <c r="E2" s="8">
        <f t="shared" ref="E2:E1001" si="5">RANDBETWEEN(200,2000)</f>
        <v>1868</v>
      </c>
      <c r="F2" s="8">
        <f t="shared" ref="F2:F1001" si="6">E2*RANDBETWEEN(10,30)/100</f>
        <v>205.48</v>
      </c>
      <c r="G2" s="9">
        <f t="shared" ref="G2:G1001" si="7">RANDBETWEEN(1,10)</f>
        <v>1</v>
      </c>
      <c r="H2" s="7" t="str">
        <f t="shared" ref="H2:H1001" si="8">TEXT(A2,"MMM")</f>
        <v>Aug</v>
      </c>
      <c r="I2" s="7">
        <f t="shared" ref="I2:I1001" si="9">MONTH(A2)</f>
        <v>8</v>
      </c>
    </row>
    <row r="3">
      <c r="A3" s="6">
        <f t="shared" si="1"/>
        <v>45758</v>
      </c>
      <c r="B3" s="7" t="str">
        <f t="shared" si="2"/>
        <v>Tablet</v>
      </c>
      <c r="C3" s="7" t="str">
        <f t="shared" si="3"/>
        <v>Electronics</v>
      </c>
      <c r="D3" s="7" t="str">
        <f t="shared" si="4"/>
        <v>North</v>
      </c>
      <c r="E3" s="8">
        <f t="shared" si="5"/>
        <v>950</v>
      </c>
      <c r="F3" s="8">
        <f t="shared" si="6"/>
        <v>190</v>
      </c>
      <c r="G3" s="9">
        <f t="shared" si="7"/>
        <v>8</v>
      </c>
      <c r="H3" s="7" t="str">
        <f t="shared" si="8"/>
        <v>Apr</v>
      </c>
      <c r="I3" s="7">
        <f t="shared" si="9"/>
        <v>4</v>
      </c>
    </row>
    <row r="4">
      <c r="A4" s="6">
        <f t="shared" si="1"/>
        <v>45794</v>
      </c>
      <c r="B4" s="7" t="str">
        <f t="shared" si="2"/>
        <v>Chair</v>
      </c>
      <c r="C4" s="7" t="str">
        <f t="shared" si="3"/>
        <v>Furniture</v>
      </c>
      <c r="D4" s="7" t="str">
        <f t="shared" si="4"/>
        <v>South</v>
      </c>
      <c r="E4" s="8">
        <f t="shared" si="5"/>
        <v>1549</v>
      </c>
      <c r="F4" s="8">
        <f t="shared" si="6"/>
        <v>294.31</v>
      </c>
      <c r="G4" s="9">
        <f t="shared" si="7"/>
        <v>10</v>
      </c>
      <c r="H4" s="7" t="str">
        <f t="shared" si="8"/>
        <v>May</v>
      </c>
      <c r="I4" s="7">
        <f t="shared" si="9"/>
        <v>5</v>
      </c>
    </row>
    <row r="5">
      <c r="A5" s="6">
        <f t="shared" si="1"/>
        <v>45767</v>
      </c>
      <c r="B5" s="7" t="str">
        <f t="shared" si="2"/>
        <v>Laptop</v>
      </c>
      <c r="C5" s="7" t="str">
        <f t="shared" si="3"/>
        <v>Electronics</v>
      </c>
      <c r="D5" s="7" t="str">
        <f t="shared" si="4"/>
        <v>West</v>
      </c>
      <c r="E5" s="8">
        <f t="shared" si="5"/>
        <v>1229</v>
      </c>
      <c r="F5" s="8">
        <f t="shared" si="6"/>
        <v>307.25</v>
      </c>
      <c r="G5" s="9">
        <f t="shared" si="7"/>
        <v>5</v>
      </c>
      <c r="H5" s="7" t="str">
        <f t="shared" si="8"/>
        <v>Apr</v>
      </c>
      <c r="I5" s="7">
        <f t="shared" si="9"/>
        <v>4</v>
      </c>
    </row>
    <row r="6">
      <c r="A6" s="6">
        <f t="shared" si="1"/>
        <v>45678</v>
      </c>
      <c r="B6" s="7" t="str">
        <f t="shared" si="2"/>
        <v>Chair</v>
      </c>
      <c r="C6" s="7" t="str">
        <f t="shared" si="3"/>
        <v>Furniture</v>
      </c>
      <c r="D6" s="7" t="str">
        <f t="shared" si="4"/>
        <v>West</v>
      </c>
      <c r="E6" s="8">
        <f t="shared" si="5"/>
        <v>1980</v>
      </c>
      <c r="F6" s="8">
        <f t="shared" si="6"/>
        <v>356.4</v>
      </c>
      <c r="G6" s="9">
        <f t="shared" si="7"/>
        <v>7</v>
      </c>
      <c r="H6" s="7" t="str">
        <f t="shared" si="8"/>
        <v>Jan</v>
      </c>
      <c r="I6" s="7">
        <f t="shared" si="9"/>
        <v>1</v>
      </c>
    </row>
    <row r="7">
      <c r="A7" s="6">
        <f t="shared" si="1"/>
        <v>45683</v>
      </c>
      <c r="B7" s="7" t="str">
        <f t="shared" si="2"/>
        <v>Phone</v>
      </c>
      <c r="C7" s="7" t="str">
        <f t="shared" si="3"/>
        <v>Electronics</v>
      </c>
      <c r="D7" s="7" t="str">
        <f t="shared" si="4"/>
        <v>North</v>
      </c>
      <c r="E7" s="8">
        <f t="shared" si="5"/>
        <v>1139</v>
      </c>
      <c r="F7" s="8">
        <f t="shared" si="6"/>
        <v>125.29</v>
      </c>
      <c r="G7" s="9">
        <f t="shared" si="7"/>
        <v>6</v>
      </c>
      <c r="H7" s="7" t="str">
        <f t="shared" si="8"/>
        <v>Jan</v>
      </c>
      <c r="I7" s="7">
        <f t="shared" si="9"/>
        <v>1</v>
      </c>
    </row>
    <row r="8">
      <c r="A8" s="6">
        <f t="shared" si="1"/>
        <v>45661</v>
      </c>
      <c r="B8" s="7" t="str">
        <f t="shared" si="2"/>
        <v>Table</v>
      </c>
      <c r="C8" s="7" t="str">
        <f t="shared" si="3"/>
        <v>Furniture</v>
      </c>
      <c r="D8" s="7" t="str">
        <f t="shared" si="4"/>
        <v>East</v>
      </c>
      <c r="E8" s="8">
        <f t="shared" si="5"/>
        <v>420</v>
      </c>
      <c r="F8" s="8">
        <f t="shared" si="6"/>
        <v>109.2</v>
      </c>
      <c r="G8" s="9">
        <f t="shared" si="7"/>
        <v>6</v>
      </c>
      <c r="H8" s="7" t="str">
        <f t="shared" si="8"/>
        <v>Jan</v>
      </c>
      <c r="I8" s="7">
        <f t="shared" si="9"/>
        <v>1</v>
      </c>
    </row>
    <row r="9">
      <c r="A9" s="6">
        <f t="shared" si="1"/>
        <v>45746</v>
      </c>
      <c r="B9" s="7" t="str">
        <f t="shared" si="2"/>
        <v>Chair</v>
      </c>
      <c r="C9" s="7" t="str">
        <f t="shared" si="3"/>
        <v>Furniture</v>
      </c>
      <c r="D9" s="7" t="str">
        <f t="shared" si="4"/>
        <v>North</v>
      </c>
      <c r="E9" s="8">
        <f t="shared" si="5"/>
        <v>1027</v>
      </c>
      <c r="F9" s="8">
        <f t="shared" si="6"/>
        <v>112.97</v>
      </c>
      <c r="G9" s="9">
        <f t="shared" si="7"/>
        <v>9</v>
      </c>
      <c r="H9" s="7" t="str">
        <f t="shared" si="8"/>
        <v>Mar</v>
      </c>
      <c r="I9" s="7">
        <f t="shared" si="9"/>
        <v>3</v>
      </c>
    </row>
    <row r="10">
      <c r="A10" s="6">
        <f t="shared" si="1"/>
        <v>45987</v>
      </c>
      <c r="B10" s="7" t="str">
        <f t="shared" si="2"/>
        <v>Phone</v>
      </c>
      <c r="C10" s="7" t="str">
        <f t="shared" si="3"/>
        <v>Electronics</v>
      </c>
      <c r="D10" s="7" t="str">
        <f t="shared" si="4"/>
        <v>South</v>
      </c>
      <c r="E10" s="8">
        <f t="shared" si="5"/>
        <v>1248</v>
      </c>
      <c r="F10" s="8">
        <f t="shared" si="6"/>
        <v>336.96</v>
      </c>
      <c r="G10" s="9">
        <f t="shared" si="7"/>
        <v>1</v>
      </c>
      <c r="H10" s="7" t="str">
        <f t="shared" si="8"/>
        <v>Nov</v>
      </c>
      <c r="I10" s="7">
        <f t="shared" si="9"/>
        <v>11</v>
      </c>
    </row>
    <row r="11">
      <c r="A11" s="6">
        <f t="shared" si="1"/>
        <v>45698</v>
      </c>
      <c r="B11" s="7" t="str">
        <f t="shared" si="2"/>
        <v>Phone</v>
      </c>
      <c r="C11" s="7" t="str">
        <f t="shared" si="3"/>
        <v>Electronics</v>
      </c>
      <c r="D11" s="7" t="str">
        <f t="shared" si="4"/>
        <v>North</v>
      </c>
      <c r="E11" s="8">
        <f t="shared" si="5"/>
        <v>1608</v>
      </c>
      <c r="F11" s="8">
        <f t="shared" si="6"/>
        <v>289.44</v>
      </c>
      <c r="G11" s="9">
        <f t="shared" si="7"/>
        <v>8</v>
      </c>
      <c r="H11" s="7" t="str">
        <f t="shared" si="8"/>
        <v>Feb</v>
      </c>
      <c r="I11" s="7">
        <f t="shared" si="9"/>
        <v>2</v>
      </c>
    </row>
    <row r="12">
      <c r="A12" s="6">
        <f t="shared" si="1"/>
        <v>45860</v>
      </c>
      <c r="B12" s="7" t="str">
        <f t="shared" si="2"/>
        <v>Monitor</v>
      </c>
      <c r="C12" s="7" t="str">
        <f t="shared" si="3"/>
        <v>Electronics</v>
      </c>
      <c r="D12" s="7" t="str">
        <f t="shared" si="4"/>
        <v>West</v>
      </c>
      <c r="E12" s="8">
        <f t="shared" si="5"/>
        <v>1271</v>
      </c>
      <c r="F12" s="8">
        <f t="shared" si="6"/>
        <v>279.62</v>
      </c>
      <c r="G12" s="9">
        <f t="shared" si="7"/>
        <v>3</v>
      </c>
      <c r="H12" s="7" t="str">
        <f t="shared" si="8"/>
        <v>Jul</v>
      </c>
      <c r="I12" s="7">
        <f t="shared" si="9"/>
        <v>7</v>
      </c>
    </row>
    <row r="13">
      <c r="A13" s="6">
        <f t="shared" si="1"/>
        <v>45884</v>
      </c>
      <c r="B13" s="7" t="str">
        <f t="shared" si="2"/>
        <v>Chair</v>
      </c>
      <c r="C13" s="7" t="str">
        <f t="shared" si="3"/>
        <v>Furniture</v>
      </c>
      <c r="D13" s="7" t="str">
        <f t="shared" si="4"/>
        <v>North</v>
      </c>
      <c r="E13" s="8">
        <f t="shared" si="5"/>
        <v>1578</v>
      </c>
      <c r="F13" s="8">
        <f t="shared" si="6"/>
        <v>205.14</v>
      </c>
      <c r="G13" s="9">
        <f t="shared" si="7"/>
        <v>2</v>
      </c>
      <c r="H13" s="7" t="str">
        <f t="shared" si="8"/>
        <v>Aug</v>
      </c>
      <c r="I13" s="7">
        <f t="shared" si="9"/>
        <v>8</v>
      </c>
    </row>
    <row r="14">
      <c r="A14" s="6">
        <f t="shared" si="1"/>
        <v>45660</v>
      </c>
      <c r="B14" s="7" t="str">
        <f t="shared" si="2"/>
        <v>Chair</v>
      </c>
      <c r="C14" s="7" t="str">
        <f t="shared" si="3"/>
        <v>Furniture</v>
      </c>
      <c r="D14" s="7" t="str">
        <f t="shared" si="4"/>
        <v>West</v>
      </c>
      <c r="E14" s="8">
        <f t="shared" si="5"/>
        <v>1311</v>
      </c>
      <c r="F14" s="8">
        <f t="shared" si="6"/>
        <v>131.1</v>
      </c>
      <c r="G14" s="9">
        <f t="shared" si="7"/>
        <v>7</v>
      </c>
      <c r="H14" s="7" t="str">
        <f t="shared" si="8"/>
        <v>Jan</v>
      </c>
      <c r="I14" s="7">
        <f t="shared" si="9"/>
        <v>1</v>
      </c>
    </row>
    <row r="15">
      <c r="A15" s="6">
        <f t="shared" si="1"/>
        <v>45740</v>
      </c>
      <c r="B15" s="7" t="str">
        <f t="shared" si="2"/>
        <v>Tablet</v>
      </c>
      <c r="C15" s="7" t="str">
        <f t="shared" si="3"/>
        <v>Electronics</v>
      </c>
      <c r="D15" s="7" t="str">
        <f t="shared" si="4"/>
        <v>West</v>
      </c>
      <c r="E15" s="8">
        <f t="shared" si="5"/>
        <v>637</v>
      </c>
      <c r="F15" s="8">
        <f t="shared" si="6"/>
        <v>63.7</v>
      </c>
      <c r="G15" s="9">
        <f t="shared" si="7"/>
        <v>7</v>
      </c>
      <c r="H15" s="7" t="str">
        <f t="shared" si="8"/>
        <v>Mar</v>
      </c>
      <c r="I15" s="7">
        <f t="shared" si="9"/>
        <v>3</v>
      </c>
    </row>
    <row r="16">
      <c r="A16" s="6">
        <f t="shared" si="1"/>
        <v>45868</v>
      </c>
      <c r="B16" s="7" t="str">
        <f t="shared" si="2"/>
        <v>Laptop</v>
      </c>
      <c r="C16" s="7" t="str">
        <f t="shared" si="3"/>
        <v>Electronics</v>
      </c>
      <c r="D16" s="7" t="str">
        <f t="shared" si="4"/>
        <v>South</v>
      </c>
      <c r="E16" s="8">
        <f t="shared" si="5"/>
        <v>1677</v>
      </c>
      <c r="F16" s="8">
        <f t="shared" si="6"/>
        <v>301.86</v>
      </c>
      <c r="G16" s="9">
        <f t="shared" si="7"/>
        <v>7</v>
      </c>
      <c r="H16" s="7" t="str">
        <f t="shared" si="8"/>
        <v>Jul</v>
      </c>
      <c r="I16" s="7">
        <f t="shared" si="9"/>
        <v>7</v>
      </c>
    </row>
    <row r="17">
      <c r="A17" s="6">
        <f t="shared" si="1"/>
        <v>45697</v>
      </c>
      <c r="B17" s="7" t="str">
        <f t="shared" si="2"/>
        <v>Tablet</v>
      </c>
      <c r="C17" s="7" t="str">
        <f t="shared" si="3"/>
        <v>Electronics</v>
      </c>
      <c r="D17" s="7" t="str">
        <f t="shared" si="4"/>
        <v>North</v>
      </c>
      <c r="E17" s="8">
        <f t="shared" si="5"/>
        <v>529</v>
      </c>
      <c r="F17" s="8">
        <f t="shared" si="6"/>
        <v>89.93</v>
      </c>
      <c r="G17" s="9">
        <f t="shared" si="7"/>
        <v>10</v>
      </c>
      <c r="H17" s="7" t="str">
        <f t="shared" si="8"/>
        <v>Feb</v>
      </c>
      <c r="I17" s="7">
        <f t="shared" si="9"/>
        <v>2</v>
      </c>
    </row>
    <row r="18">
      <c r="A18" s="6">
        <f t="shared" si="1"/>
        <v>45763</v>
      </c>
      <c r="B18" s="7" t="str">
        <f t="shared" si="2"/>
        <v>Laptop</v>
      </c>
      <c r="C18" s="7" t="str">
        <f t="shared" si="3"/>
        <v>Electronics</v>
      </c>
      <c r="D18" s="7" t="str">
        <f t="shared" si="4"/>
        <v>East</v>
      </c>
      <c r="E18" s="8">
        <f t="shared" si="5"/>
        <v>1776</v>
      </c>
      <c r="F18" s="8">
        <f t="shared" si="6"/>
        <v>266.4</v>
      </c>
      <c r="G18" s="9">
        <f t="shared" si="7"/>
        <v>3</v>
      </c>
      <c r="H18" s="7" t="str">
        <f t="shared" si="8"/>
        <v>Apr</v>
      </c>
      <c r="I18" s="7">
        <f t="shared" si="9"/>
        <v>4</v>
      </c>
    </row>
    <row r="19">
      <c r="A19" s="6">
        <f t="shared" si="1"/>
        <v>45930</v>
      </c>
      <c r="B19" s="7" t="str">
        <f t="shared" si="2"/>
        <v>Table</v>
      </c>
      <c r="C19" s="7" t="str">
        <f t="shared" si="3"/>
        <v>Furniture</v>
      </c>
      <c r="D19" s="7" t="str">
        <f t="shared" si="4"/>
        <v>West</v>
      </c>
      <c r="E19" s="8">
        <f t="shared" si="5"/>
        <v>320</v>
      </c>
      <c r="F19" s="8">
        <f t="shared" si="6"/>
        <v>35.2</v>
      </c>
      <c r="G19" s="9">
        <f t="shared" si="7"/>
        <v>7</v>
      </c>
      <c r="H19" s="7" t="str">
        <f t="shared" si="8"/>
        <v>Sep</v>
      </c>
      <c r="I19" s="7">
        <f t="shared" si="9"/>
        <v>9</v>
      </c>
    </row>
    <row r="20">
      <c r="A20" s="6">
        <f t="shared" si="1"/>
        <v>45669</v>
      </c>
      <c r="B20" s="7" t="str">
        <f t="shared" si="2"/>
        <v>Tablet</v>
      </c>
      <c r="C20" s="7" t="str">
        <f t="shared" si="3"/>
        <v>Electronics</v>
      </c>
      <c r="D20" s="7" t="str">
        <f t="shared" si="4"/>
        <v>South</v>
      </c>
      <c r="E20" s="8">
        <f t="shared" si="5"/>
        <v>1964</v>
      </c>
      <c r="F20" s="8">
        <f t="shared" si="6"/>
        <v>451.72</v>
      </c>
      <c r="G20" s="9">
        <f t="shared" si="7"/>
        <v>4</v>
      </c>
      <c r="H20" s="7" t="str">
        <f t="shared" si="8"/>
        <v>Jan</v>
      </c>
      <c r="I20" s="7">
        <f t="shared" si="9"/>
        <v>1</v>
      </c>
    </row>
    <row r="21">
      <c r="A21" s="6">
        <f t="shared" si="1"/>
        <v>45781</v>
      </c>
      <c r="B21" s="7" t="str">
        <f t="shared" si="2"/>
        <v>Monitor</v>
      </c>
      <c r="C21" s="7" t="str">
        <f t="shared" si="3"/>
        <v>Electronics</v>
      </c>
      <c r="D21" s="7" t="str">
        <f t="shared" si="4"/>
        <v>West</v>
      </c>
      <c r="E21" s="8">
        <f t="shared" si="5"/>
        <v>1996</v>
      </c>
      <c r="F21" s="8">
        <f t="shared" si="6"/>
        <v>219.56</v>
      </c>
      <c r="G21" s="9">
        <f t="shared" si="7"/>
        <v>2</v>
      </c>
      <c r="H21" s="7" t="str">
        <f t="shared" si="8"/>
        <v>May</v>
      </c>
      <c r="I21" s="7">
        <f t="shared" si="9"/>
        <v>5</v>
      </c>
    </row>
    <row r="22">
      <c r="A22" s="6">
        <f t="shared" si="1"/>
        <v>45999</v>
      </c>
      <c r="B22" s="7" t="str">
        <f t="shared" si="2"/>
        <v>Table</v>
      </c>
      <c r="C22" s="7" t="str">
        <f t="shared" si="3"/>
        <v>Furniture</v>
      </c>
      <c r="D22" s="7" t="str">
        <f t="shared" si="4"/>
        <v>North</v>
      </c>
      <c r="E22" s="8">
        <f t="shared" si="5"/>
        <v>1002</v>
      </c>
      <c r="F22" s="8">
        <f t="shared" si="6"/>
        <v>210.42</v>
      </c>
      <c r="G22" s="9">
        <f t="shared" si="7"/>
        <v>4</v>
      </c>
      <c r="H22" s="7" t="str">
        <f t="shared" si="8"/>
        <v>Dec</v>
      </c>
      <c r="I22" s="7">
        <f t="shared" si="9"/>
        <v>12</v>
      </c>
    </row>
    <row r="23">
      <c r="A23" s="6">
        <f t="shared" si="1"/>
        <v>45972</v>
      </c>
      <c r="B23" s="7" t="str">
        <f t="shared" si="2"/>
        <v>Table</v>
      </c>
      <c r="C23" s="7" t="str">
        <f t="shared" si="3"/>
        <v>Furniture</v>
      </c>
      <c r="D23" s="7" t="str">
        <f t="shared" si="4"/>
        <v>East</v>
      </c>
      <c r="E23" s="8">
        <f t="shared" si="5"/>
        <v>1160</v>
      </c>
      <c r="F23" s="8">
        <f t="shared" si="6"/>
        <v>220.4</v>
      </c>
      <c r="G23" s="9">
        <f t="shared" si="7"/>
        <v>3</v>
      </c>
      <c r="H23" s="7" t="str">
        <f t="shared" si="8"/>
        <v>Nov</v>
      </c>
      <c r="I23" s="7">
        <f t="shared" si="9"/>
        <v>11</v>
      </c>
    </row>
    <row r="24">
      <c r="A24" s="6">
        <f t="shared" si="1"/>
        <v>45804</v>
      </c>
      <c r="B24" s="7" t="str">
        <f t="shared" si="2"/>
        <v>Chair</v>
      </c>
      <c r="C24" s="7" t="str">
        <f t="shared" si="3"/>
        <v>Furniture</v>
      </c>
      <c r="D24" s="7" t="str">
        <f t="shared" si="4"/>
        <v>South</v>
      </c>
      <c r="E24" s="8">
        <f t="shared" si="5"/>
        <v>488</v>
      </c>
      <c r="F24" s="8">
        <f t="shared" si="6"/>
        <v>126.88</v>
      </c>
      <c r="G24" s="9">
        <f t="shared" si="7"/>
        <v>8</v>
      </c>
      <c r="H24" s="7" t="str">
        <f t="shared" si="8"/>
        <v>May</v>
      </c>
      <c r="I24" s="7">
        <f t="shared" si="9"/>
        <v>5</v>
      </c>
    </row>
    <row r="25">
      <c r="A25" s="6">
        <f t="shared" si="1"/>
        <v>45858</v>
      </c>
      <c r="B25" s="7" t="str">
        <f t="shared" si="2"/>
        <v>Laptop</v>
      </c>
      <c r="C25" s="7" t="str">
        <f t="shared" si="3"/>
        <v>Electronics</v>
      </c>
      <c r="D25" s="7" t="str">
        <f t="shared" si="4"/>
        <v>West</v>
      </c>
      <c r="E25" s="8">
        <f t="shared" si="5"/>
        <v>874</v>
      </c>
      <c r="F25" s="8">
        <f t="shared" si="6"/>
        <v>174.8</v>
      </c>
      <c r="G25" s="9">
        <f t="shared" si="7"/>
        <v>9</v>
      </c>
      <c r="H25" s="7" t="str">
        <f t="shared" si="8"/>
        <v>Jul</v>
      </c>
      <c r="I25" s="7">
        <f t="shared" si="9"/>
        <v>7</v>
      </c>
    </row>
    <row r="26">
      <c r="A26" s="6">
        <f t="shared" si="1"/>
        <v>45798</v>
      </c>
      <c r="B26" s="7" t="str">
        <f t="shared" si="2"/>
        <v>Phone</v>
      </c>
      <c r="C26" s="7" t="str">
        <f t="shared" si="3"/>
        <v>Electronics</v>
      </c>
      <c r="D26" s="7" t="str">
        <f t="shared" si="4"/>
        <v>East</v>
      </c>
      <c r="E26" s="8">
        <f t="shared" si="5"/>
        <v>906</v>
      </c>
      <c r="F26" s="8">
        <f t="shared" si="6"/>
        <v>126.84</v>
      </c>
      <c r="G26" s="9">
        <f t="shared" si="7"/>
        <v>8</v>
      </c>
      <c r="H26" s="7" t="str">
        <f t="shared" si="8"/>
        <v>May</v>
      </c>
      <c r="I26" s="7">
        <f t="shared" si="9"/>
        <v>5</v>
      </c>
    </row>
    <row r="27">
      <c r="A27" s="6">
        <f t="shared" si="1"/>
        <v>45984</v>
      </c>
      <c r="B27" s="7" t="str">
        <f t="shared" si="2"/>
        <v>Chair</v>
      </c>
      <c r="C27" s="7" t="str">
        <f t="shared" si="3"/>
        <v>Furniture</v>
      </c>
      <c r="D27" s="7" t="str">
        <f t="shared" si="4"/>
        <v>South</v>
      </c>
      <c r="E27" s="8">
        <f t="shared" si="5"/>
        <v>672</v>
      </c>
      <c r="F27" s="8">
        <f t="shared" si="6"/>
        <v>94.08</v>
      </c>
      <c r="G27" s="9">
        <f t="shared" si="7"/>
        <v>8</v>
      </c>
      <c r="H27" s="7" t="str">
        <f t="shared" si="8"/>
        <v>Nov</v>
      </c>
      <c r="I27" s="7">
        <f t="shared" si="9"/>
        <v>11</v>
      </c>
    </row>
    <row r="28">
      <c r="A28" s="6">
        <f t="shared" si="1"/>
        <v>45778</v>
      </c>
      <c r="B28" s="7" t="str">
        <f t="shared" si="2"/>
        <v>Table</v>
      </c>
      <c r="C28" s="7" t="str">
        <f t="shared" si="3"/>
        <v>Furniture</v>
      </c>
      <c r="D28" s="7" t="str">
        <f t="shared" si="4"/>
        <v>East</v>
      </c>
      <c r="E28" s="8">
        <f t="shared" si="5"/>
        <v>1939</v>
      </c>
      <c r="F28" s="8">
        <f t="shared" si="6"/>
        <v>271.46</v>
      </c>
      <c r="G28" s="9">
        <f t="shared" si="7"/>
        <v>3</v>
      </c>
      <c r="H28" s="7" t="str">
        <f t="shared" si="8"/>
        <v>May</v>
      </c>
      <c r="I28" s="7">
        <f t="shared" si="9"/>
        <v>5</v>
      </c>
    </row>
    <row r="29">
      <c r="A29" s="6">
        <f t="shared" si="1"/>
        <v>45766</v>
      </c>
      <c r="B29" s="7" t="str">
        <f t="shared" si="2"/>
        <v>Phone</v>
      </c>
      <c r="C29" s="7" t="str">
        <f t="shared" si="3"/>
        <v>Electronics</v>
      </c>
      <c r="D29" s="7" t="str">
        <f t="shared" si="4"/>
        <v>South</v>
      </c>
      <c r="E29" s="8">
        <f t="shared" si="5"/>
        <v>785</v>
      </c>
      <c r="F29" s="8">
        <f t="shared" si="6"/>
        <v>86.35</v>
      </c>
      <c r="G29" s="9">
        <f t="shared" si="7"/>
        <v>9</v>
      </c>
      <c r="H29" s="7" t="str">
        <f t="shared" si="8"/>
        <v>Apr</v>
      </c>
      <c r="I29" s="7">
        <f t="shared" si="9"/>
        <v>4</v>
      </c>
    </row>
    <row r="30">
      <c r="A30" s="6">
        <f t="shared" si="1"/>
        <v>45924</v>
      </c>
      <c r="B30" s="7" t="str">
        <f t="shared" si="2"/>
        <v>Chair</v>
      </c>
      <c r="C30" s="7" t="str">
        <f t="shared" si="3"/>
        <v>Furniture</v>
      </c>
      <c r="D30" s="7" t="str">
        <f t="shared" si="4"/>
        <v>South</v>
      </c>
      <c r="E30" s="8">
        <f t="shared" si="5"/>
        <v>349</v>
      </c>
      <c r="F30" s="8">
        <f t="shared" si="6"/>
        <v>73.29</v>
      </c>
      <c r="G30" s="9">
        <f t="shared" si="7"/>
        <v>6</v>
      </c>
      <c r="H30" s="7" t="str">
        <f t="shared" si="8"/>
        <v>Sep</v>
      </c>
      <c r="I30" s="7">
        <f t="shared" si="9"/>
        <v>9</v>
      </c>
    </row>
    <row r="31">
      <c r="A31" s="6">
        <f t="shared" si="1"/>
        <v>45711</v>
      </c>
      <c r="B31" s="7" t="str">
        <f t="shared" si="2"/>
        <v>Monitor</v>
      </c>
      <c r="C31" s="7" t="str">
        <f t="shared" si="3"/>
        <v>Electronics</v>
      </c>
      <c r="D31" s="7" t="str">
        <f t="shared" si="4"/>
        <v>East</v>
      </c>
      <c r="E31" s="8">
        <f t="shared" si="5"/>
        <v>1556</v>
      </c>
      <c r="F31" s="8">
        <f t="shared" si="6"/>
        <v>217.84</v>
      </c>
      <c r="G31" s="9">
        <f t="shared" si="7"/>
        <v>9</v>
      </c>
      <c r="H31" s="7" t="str">
        <f t="shared" si="8"/>
        <v>Feb</v>
      </c>
      <c r="I31" s="7">
        <f t="shared" si="9"/>
        <v>2</v>
      </c>
    </row>
    <row r="32">
      <c r="A32" s="6">
        <f t="shared" si="1"/>
        <v>45871</v>
      </c>
      <c r="B32" s="7" t="str">
        <f t="shared" si="2"/>
        <v>Laptop</v>
      </c>
      <c r="C32" s="7" t="str">
        <f t="shared" si="3"/>
        <v>Electronics</v>
      </c>
      <c r="D32" s="7" t="str">
        <f t="shared" si="4"/>
        <v>South</v>
      </c>
      <c r="E32" s="8">
        <f t="shared" si="5"/>
        <v>1181</v>
      </c>
      <c r="F32" s="8">
        <f t="shared" si="6"/>
        <v>212.58</v>
      </c>
      <c r="G32" s="9">
        <f t="shared" si="7"/>
        <v>8</v>
      </c>
      <c r="H32" s="7" t="str">
        <f t="shared" si="8"/>
        <v>Aug</v>
      </c>
      <c r="I32" s="7">
        <f t="shared" si="9"/>
        <v>8</v>
      </c>
    </row>
    <row r="33">
      <c r="A33" s="6">
        <f t="shared" si="1"/>
        <v>45990</v>
      </c>
      <c r="B33" s="7" t="str">
        <f t="shared" si="2"/>
        <v>Chair</v>
      </c>
      <c r="C33" s="7" t="str">
        <f t="shared" si="3"/>
        <v>Furniture</v>
      </c>
      <c r="D33" s="7" t="str">
        <f t="shared" si="4"/>
        <v>North</v>
      </c>
      <c r="E33" s="8">
        <f t="shared" si="5"/>
        <v>338</v>
      </c>
      <c r="F33" s="8">
        <f t="shared" si="6"/>
        <v>43.94</v>
      </c>
      <c r="G33" s="9">
        <f t="shared" si="7"/>
        <v>1</v>
      </c>
      <c r="H33" s="7" t="str">
        <f t="shared" si="8"/>
        <v>Nov</v>
      </c>
      <c r="I33" s="7">
        <f t="shared" si="9"/>
        <v>11</v>
      </c>
    </row>
    <row r="34">
      <c r="A34" s="6">
        <f t="shared" si="1"/>
        <v>45711</v>
      </c>
      <c r="B34" s="7" t="str">
        <f t="shared" si="2"/>
        <v>Laptop</v>
      </c>
      <c r="C34" s="7" t="str">
        <f t="shared" si="3"/>
        <v>Electronics</v>
      </c>
      <c r="D34" s="7" t="str">
        <f t="shared" si="4"/>
        <v>North</v>
      </c>
      <c r="E34" s="8">
        <f t="shared" si="5"/>
        <v>1903</v>
      </c>
      <c r="F34" s="8">
        <f t="shared" si="6"/>
        <v>323.51</v>
      </c>
      <c r="G34" s="9">
        <f t="shared" si="7"/>
        <v>7</v>
      </c>
      <c r="H34" s="7" t="str">
        <f t="shared" si="8"/>
        <v>Feb</v>
      </c>
      <c r="I34" s="7">
        <f t="shared" si="9"/>
        <v>2</v>
      </c>
    </row>
    <row r="35">
      <c r="A35" s="6">
        <f t="shared" si="1"/>
        <v>45711</v>
      </c>
      <c r="B35" s="7" t="str">
        <f t="shared" si="2"/>
        <v>Laptop</v>
      </c>
      <c r="C35" s="7" t="str">
        <f t="shared" si="3"/>
        <v>Electronics</v>
      </c>
      <c r="D35" s="7" t="str">
        <f t="shared" si="4"/>
        <v>West</v>
      </c>
      <c r="E35" s="8">
        <f t="shared" si="5"/>
        <v>1502</v>
      </c>
      <c r="F35" s="8">
        <f t="shared" si="6"/>
        <v>225.3</v>
      </c>
      <c r="G35" s="9">
        <f t="shared" si="7"/>
        <v>5</v>
      </c>
      <c r="H35" s="7" t="str">
        <f t="shared" si="8"/>
        <v>Feb</v>
      </c>
      <c r="I35" s="7">
        <f t="shared" si="9"/>
        <v>2</v>
      </c>
    </row>
    <row r="36">
      <c r="A36" s="6">
        <f t="shared" si="1"/>
        <v>45939</v>
      </c>
      <c r="B36" s="7" t="str">
        <f t="shared" si="2"/>
        <v>Laptop</v>
      </c>
      <c r="C36" s="7" t="str">
        <f t="shared" si="3"/>
        <v>Electronics</v>
      </c>
      <c r="D36" s="7" t="str">
        <f t="shared" si="4"/>
        <v>West</v>
      </c>
      <c r="E36" s="8">
        <f t="shared" si="5"/>
        <v>740</v>
      </c>
      <c r="F36" s="8">
        <f t="shared" si="6"/>
        <v>207.2</v>
      </c>
      <c r="G36" s="9">
        <f t="shared" si="7"/>
        <v>8</v>
      </c>
      <c r="H36" s="7" t="str">
        <f t="shared" si="8"/>
        <v>Oct</v>
      </c>
      <c r="I36" s="7">
        <f t="shared" si="9"/>
        <v>10</v>
      </c>
    </row>
    <row r="37">
      <c r="A37" s="6">
        <f t="shared" si="1"/>
        <v>45991</v>
      </c>
      <c r="B37" s="7" t="str">
        <f t="shared" si="2"/>
        <v>Phone</v>
      </c>
      <c r="C37" s="7" t="str">
        <f t="shared" si="3"/>
        <v>Electronics</v>
      </c>
      <c r="D37" s="7" t="str">
        <f t="shared" si="4"/>
        <v>East</v>
      </c>
      <c r="E37" s="8">
        <f t="shared" si="5"/>
        <v>861</v>
      </c>
      <c r="F37" s="8">
        <f t="shared" si="6"/>
        <v>249.69</v>
      </c>
      <c r="G37" s="9">
        <f t="shared" si="7"/>
        <v>6</v>
      </c>
      <c r="H37" s="7" t="str">
        <f t="shared" si="8"/>
        <v>Nov</v>
      </c>
      <c r="I37" s="7">
        <f t="shared" si="9"/>
        <v>11</v>
      </c>
    </row>
    <row r="38">
      <c r="A38" s="6">
        <f t="shared" si="1"/>
        <v>45992</v>
      </c>
      <c r="B38" s="7" t="str">
        <f t="shared" si="2"/>
        <v>Tablet</v>
      </c>
      <c r="C38" s="7" t="str">
        <f t="shared" si="3"/>
        <v>Electronics</v>
      </c>
      <c r="D38" s="7" t="str">
        <f t="shared" si="4"/>
        <v>South</v>
      </c>
      <c r="E38" s="8">
        <f t="shared" si="5"/>
        <v>1089</v>
      </c>
      <c r="F38" s="8">
        <f t="shared" si="6"/>
        <v>119.79</v>
      </c>
      <c r="G38" s="9">
        <f t="shared" si="7"/>
        <v>1</v>
      </c>
      <c r="H38" s="7" t="str">
        <f t="shared" si="8"/>
        <v>Dec</v>
      </c>
      <c r="I38" s="7">
        <f t="shared" si="9"/>
        <v>12</v>
      </c>
    </row>
    <row r="39">
      <c r="A39" s="6">
        <f t="shared" si="1"/>
        <v>45783</v>
      </c>
      <c r="B39" s="7" t="str">
        <f t="shared" si="2"/>
        <v>Tablet</v>
      </c>
      <c r="C39" s="7" t="str">
        <f t="shared" si="3"/>
        <v>Electronics</v>
      </c>
      <c r="D39" s="7" t="str">
        <f t="shared" si="4"/>
        <v>West</v>
      </c>
      <c r="E39" s="8">
        <f t="shared" si="5"/>
        <v>548</v>
      </c>
      <c r="F39" s="8">
        <f t="shared" si="6"/>
        <v>158.92</v>
      </c>
      <c r="G39" s="9">
        <f t="shared" si="7"/>
        <v>10</v>
      </c>
      <c r="H39" s="7" t="str">
        <f t="shared" si="8"/>
        <v>May</v>
      </c>
      <c r="I39" s="7">
        <f t="shared" si="9"/>
        <v>5</v>
      </c>
    </row>
    <row r="40">
      <c r="A40" s="6">
        <f t="shared" si="1"/>
        <v>45849</v>
      </c>
      <c r="B40" s="7" t="str">
        <f t="shared" si="2"/>
        <v>Chair</v>
      </c>
      <c r="C40" s="7" t="str">
        <f t="shared" si="3"/>
        <v>Furniture</v>
      </c>
      <c r="D40" s="7" t="str">
        <f t="shared" si="4"/>
        <v>North</v>
      </c>
      <c r="E40" s="8">
        <f t="shared" si="5"/>
        <v>1852</v>
      </c>
      <c r="F40" s="8">
        <f t="shared" si="6"/>
        <v>537.08</v>
      </c>
      <c r="G40" s="9">
        <f t="shared" si="7"/>
        <v>6</v>
      </c>
      <c r="H40" s="7" t="str">
        <f t="shared" si="8"/>
        <v>Jul</v>
      </c>
      <c r="I40" s="7">
        <f t="shared" si="9"/>
        <v>7</v>
      </c>
    </row>
    <row r="41">
      <c r="A41" s="6">
        <f t="shared" si="1"/>
        <v>45938</v>
      </c>
      <c r="B41" s="7" t="str">
        <f t="shared" si="2"/>
        <v>Tablet</v>
      </c>
      <c r="C41" s="7" t="str">
        <f t="shared" si="3"/>
        <v>Electronics</v>
      </c>
      <c r="D41" s="7" t="str">
        <f t="shared" si="4"/>
        <v>North</v>
      </c>
      <c r="E41" s="8">
        <f t="shared" si="5"/>
        <v>1163</v>
      </c>
      <c r="F41" s="8">
        <f t="shared" si="6"/>
        <v>162.82</v>
      </c>
      <c r="G41" s="9">
        <f t="shared" si="7"/>
        <v>2</v>
      </c>
      <c r="H41" s="7" t="str">
        <f t="shared" si="8"/>
        <v>Oct</v>
      </c>
      <c r="I41" s="7">
        <f t="shared" si="9"/>
        <v>10</v>
      </c>
    </row>
    <row r="42">
      <c r="A42" s="6">
        <f t="shared" si="1"/>
        <v>45687</v>
      </c>
      <c r="B42" s="7" t="str">
        <f t="shared" si="2"/>
        <v>Laptop</v>
      </c>
      <c r="C42" s="7" t="str">
        <f t="shared" si="3"/>
        <v>Electronics</v>
      </c>
      <c r="D42" s="7" t="str">
        <f t="shared" si="4"/>
        <v>West</v>
      </c>
      <c r="E42" s="8">
        <f t="shared" si="5"/>
        <v>832</v>
      </c>
      <c r="F42" s="8">
        <f t="shared" si="6"/>
        <v>199.68</v>
      </c>
      <c r="G42" s="9">
        <f t="shared" si="7"/>
        <v>5</v>
      </c>
      <c r="H42" s="7" t="str">
        <f t="shared" si="8"/>
        <v>Jan</v>
      </c>
      <c r="I42" s="7">
        <f t="shared" si="9"/>
        <v>1</v>
      </c>
    </row>
    <row r="43">
      <c r="A43" s="6">
        <f t="shared" si="1"/>
        <v>45827</v>
      </c>
      <c r="B43" s="7" t="str">
        <f t="shared" si="2"/>
        <v>Laptop</v>
      </c>
      <c r="C43" s="7" t="str">
        <f t="shared" si="3"/>
        <v>Electronics</v>
      </c>
      <c r="D43" s="7" t="str">
        <f t="shared" si="4"/>
        <v>East</v>
      </c>
      <c r="E43" s="8">
        <f t="shared" si="5"/>
        <v>1529</v>
      </c>
      <c r="F43" s="8">
        <f t="shared" si="6"/>
        <v>305.8</v>
      </c>
      <c r="G43" s="9">
        <f t="shared" si="7"/>
        <v>2</v>
      </c>
      <c r="H43" s="7" t="str">
        <f t="shared" si="8"/>
        <v>Jun</v>
      </c>
      <c r="I43" s="7">
        <f t="shared" si="9"/>
        <v>6</v>
      </c>
    </row>
    <row r="44">
      <c r="A44" s="6">
        <f t="shared" si="1"/>
        <v>45726</v>
      </c>
      <c r="B44" s="7" t="str">
        <f t="shared" si="2"/>
        <v>Monitor</v>
      </c>
      <c r="C44" s="7" t="str">
        <f t="shared" si="3"/>
        <v>Electronics</v>
      </c>
      <c r="D44" s="7" t="str">
        <f t="shared" si="4"/>
        <v>South</v>
      </c>
      <c r="E44" s="8">
        <f t="shared" si="5"/>
        <v>1948</v>
      </c>
      <c r="F44" s="8">
        <f t="shared" si="6"/>
        <v>350.64</v>
      </c>
      <c r="G44" s="9">
        <f t="shared" si="7"/>
        <v>5</v>
      </c>
      <c r="H44" s="7" t="str">
        <f t="shared" si="8"/>
        <v>Mar</v>
      </c>
      <c r="I44" s="7">
        <f t="shared" si="9"/>
        <v>3</v>
      </c>
    </row>
    <row r="45">
      <c r="A45" s="6">
        <f t="shared" si="1"/>
        <v>45972</v>
      </c>
      <c r="B45" s="7" t="str">
        <f t="shared" si="2"/>
        <v>Table</v>
      </c>
      <c r="C45" s="7" t="str">
        <f t="shared" si="3"/>
        <v>Furniture</v>
      </c>
      <c r="D45" s="7" t="str">
        <f t="shared" si="4"/>
        <v>West</v>
      </c>
      <c r="E45" s="8">
        <f t="shared" si="5"/>
        <v>427</v>
      </c>
      <c r="F45" s="8">
        <f t="shared" si="6"/>
        <v>72.59</v>
      </c>
      <c r="G45" s="9">
        <f t="shared" si="7"/>
        <v>5</v>
      </c>
      <c r="H45" s="7" t="str">
        <f t="shared" si="8"/>
        <v>Nov</v>
      </c>
      <c r="I45" s="7">
        <f t="shared" si="9"/>
        <v>11</v>
      </c>
    </row>
    <row r="46">
      <c r="A46" s="6">
        <f t="shared" si="1"/>
        <v>45796</v>
      </c>
      <c r="B46" s="7" t="str">
        <f t="shared" si="2"/>
        <v>Phone</v>
      </c>
      <c r="C46" s="7" t="str">
        <f t="shared" si="3"/>
        <v>Electronics</v>
      </c>
      <c r="D46" s="7" t="str">
        <f t="shared" si="4"/>
        <v>East</v>
      </c>
      <c r="E46" s="8">
        <f t="shared" si="5"/>
        <v>1384</v>
      </c>
      <c r="F46" s="8">
        <f t="shared" si="6"/>
        <v>304.48</v>
      </c>
      <c r="G46" s="9">
        <f t="shared" si="7"/>
        <v>6</v>
      </c>
      <c r="H46" s="7" t="str">
        <f t="shared" si="8"/>
        <v>May</v>
      </c>
      <c r="I46" s="7">
        <f t="shared" si="9"/>
        <v>5</v>
      </c>
    </row>
    <row r="47">
      <c r="A47" s="6">
        <f t="shared" si="1"/>
        <v>45695</v>
      </c>
      <c r="B47" s="7" t="str">
        <f t="shared" si="2"/>
        <v>Tablet</v>
      </c>
      <c r="C47" s="7" t="str">
        <f t="shared" si="3"/>
        <v>Electronics</v>
      </c>
      <c r="D47" s="7" t="str">
        <f t="shared" si="4"/>
        <v>South</v>
      </c>
      <c r="E47" s="8">
        <f t="shared" si="5"/>
        <v>1679</v>
      </c>
      <c r="F47" s="8">
        <f t="shared" si="6"/>
        <v>218.27</v>
      </c>
      <c r="G47" s="9">
        <f t="shared" si="7"/>
        <v>5</v>
      </c>
      <c r="H47" s="7" t="str">
        <f t="shared" si="8"/>
        <v>Feb</v>
      </c>
      <c r="I47" s="7">
        <f t="shared" si="9"/>
        <v>2</v>
      </c>
    </row>
    <row r="48">
      <c r="A48" s="6">
        <f t="shared" si="1"/>
        <v>45912</v>
      </c>
      <c r="B48" s="7" t="str">
        <f t="shared" si="2"/>
        <v>Tablet</v>
      </c>
      <c r="C48" s="7" t="str">
        <f t="shared" si="3"/>
        <v>Electronics</v>
      </c>
      <c r="D48" s="7" t="str">
        <f t="shared" si="4"/>
        <v>North</v>
      </c>
      <c r="E48" s="8">
        <f t="shared" si="5"/>
        <v>748</v>
      </c>
      <c r="F48" s="8">
        <f t="shared" si="6"/>
        <v>216.92</v>
      </c>
      <c r="G48" s="9">
        <f t="shared" si="7"/>
        <v>7</v>
      </c>
      <c r="H48" s="7" t="str">
        <f t="shared" si="8"/>
        <v>Sep</v>
      </c>
      <c r="I48" s="7">
        <f t="shared" si="9"/>
        <v>9</v>
      </c>
    </row>
    <row r="49">
      <c r="A49" s="6">
        <f t="shared" si="1"/>
        <v>45956</v>
      </c>
      <c r="B49" s="7" t="str">
        <f t="shared" si="2"/>
        <v>Phone</v>
      </c>
      <c r="C49" s="7" t="str">
        <f t="shared" si="3"/>
        <v>Electronics</v>
      </c>
      <c r="D49" s="7" t="str">
        <f t="shared" si="4"/>
        <v>South</v>
      </c>
      <c r="E49" s="8">
        <f t="shared" si="5"/>
        <v>487</v>
      </c>
      <c r="F49" s="8">
        <f t="shared" si="6"/>
        <v>73.05</v>
      </c>
      <c r="G49" s="9">
        <f t="shared" si="7"/>
        <v>3</v>
      </c>
      <c r="H49" s="7" t="str">
        <f t="shared" si="8"/>
        <v>Oct</v>
      </c>
      <c r="I49" s="7">
        <f t="shared" si="9"/>
        <v>10</v>
      </c>
    </row>
    <row r="50">
      <c r="A50" s="6">
        <f t="shared" si="1"/>
        <v>45668</v>
      </c>
      <c r="B50" s="7" t="str">
        <f t="shared" si="2"/>
        <v>Chair</v>
      </c>
      <c r="C50" s="7" t="str">
        <f t="shared" si="3"/>
        <v>Furniture</v>
      </c>
      <c r="D50" s="7" t="str">
        <f t="shared" si="4"/>
        <v>East</v>
      </c>
      <c r="E50" s="8">
        <f t="shared" si="5"/>
        <v>1419</v>
      </c>
      <c r="F50" s="8">
        <f t="shared" si="6"/>
        <v>397.32</v>
      </c>
      <c r="G50" s="9">
        <f t="shared" si="7"/>
        <v>7</v>
      </c>
      <c r="H50" s="7" t="str">
        <f t="shared" si="8"/>
        <v>Jan</v>
      </c>
      <c r="I50" s="7">
        <f t="shared" si="9"/>
        <v>1</v>
      </c>
    </row>
    <row r="51">
      <c r="A51" s="6">
        <f t="shared" si="1"/>
        <v>45765</v>
      </c>
      <c r="B51" s="7" t="str">
        <f t="shared" si="2"/>
        <v>Monitor</v>
      </c>
      <c r="C51" s="7" t="str">
        <f t="shared" si="3"/>
        <v>Electronics</v>
      </c>
      <c r="D51" s="7" t="str">
        <f t="shared" si="4"/>
        <v>East</v>
      </c>
      <c r="E51" s="8">
        <f t="shared" si="5"/>
        <v>1454</v>
      </c>
      <c r="F51" s="8">
        <f t="shared" si="6"/>
        <v>174.48</v>
      </c>
      <c r="G51" s="9">
        <f t="shared" si="7"/>
        <v>10</v>
      </c>
      <c r="H51" s="7" t="str">
        <f t="shared" si="8"/>
        <v>Apr</v>
      </c>
      <c r="I51" s="7">
        <f t="shared" si="9"/>
        <v>4</v>
      </c>
    </row>
    <row r="52">
      <c r="A52" s="6">
        <f t="shared" si="1"/>
        <v>45787</v>
      </c>
      <c r="B52" s="7" t="str">
        <f t="shared" si="2"/>
        <v>Laptop</v>
      </c>
      <c r="C52" s="7" t="str">
        <f t="shared" si="3"/>
        <v>Electronics</v>
      </c>
      <c r="D52" s="7" t="str">
        <f t="shared" si="4"/>
        <v>West</v>
      </c>
      <c r="E52" s="8">
        <f t="shared" si="5"/>
        <v>1258</v>
      </c>
      <c r="F52" s="8">
        <f t="shared" si="6"/>
        <v>314.5</v>
      </c>
      <c r="G52" s="9">
        <f t="shared" si="7"/>
        <v>3</v>
      </c>
      <c r="H52" s="7" t="str">
        <f t="shared" si="8"/>
        <v>May</v>
      </c>
      <c r="I52" s="7">
        <f t="shared" si="9"/>
        <v>5</v>
      </c>
    </row>
    <row r="53">
      <c r="A53" s="6">
        <f t="shared" si="1"/>
        <v>45994</v>
      </c>
      <c r="B53" s="7" t="str">
        <f t="shared" si="2"/>
        <v>Tablet</v>
      </c>
      <c r="C53" s="7" t="str">
        <f t="shared" si="3"/>
        <v>Electronics</v>
      </c>
      <c r="D53" s="7" t="str">
        <f t="shared" si="4"/>
        <v>North</v>
      </c>
      <c r="E53" s="8">
        <f t="shared" si="5"/>
        <v>389</v>
      </c>
      <c r="F53" s="8">
        <f t="shared" si="6"/>
        <v>58.35</v>
      </c>
      <c r="G53" s="9">
        <f t="shared" si="7"/>
        <v>6</v>
      </c>
      <c r="H53" s="7" t="str">
        <f t="shared" si="8"/>
        <v>Dec</v>
      </c>
      <c r="I53" s="7">
        <f t="shared" si="9"/>
        <v>12</v>
      </c>
    </row>
    <row r="54">
      <c r="A54" s="6">
        <f t="shared" si="1"/>
        <v>45737</v>
      </c>
      <c r="B54" s="7" t="str">
        <f t="shared" si="2"/>
        <v>Tablet</v>
      </c>
      <c r="C54" s="7" t="str">
        <f t="shared" si="3"/>
        <v>Electronics</v>
      </c>
      <c r="D54" s="7" t="str">
        <f t="shared" si="4"/>
        <v>South</v>
      </c>
      <c r="E54" s="8">
        <f t="shared" si="5"/>
        <v>1374</v>
      </c>
      <c r="F54" s="8">
        <f t="shared" si="6"/>
        <v>412.2</v>
      </c>
      <c r="G54" s="9">
        <f t="shared" si="7"/>
        <v>5</v>
      </c>
      <c r="H54" s="7" t="str">
        <f t="shared" si="8"/>
        <v>Mar</v>
      </c>
      <c r="I54" s="7">
        <f t="shared" si="9"/>
        <v>3</v>
      </c>
    </row>
    <row r="55">
      <c r="A55" s="6">
        <f t="shared" si="1"/>
        <v>45734</v>
      </c>
      <c r="B55" s="7" t="str">
        <f t="shared" si="2"/>
        <v>Tablet</v>
      </c>
      <c r="C55" s="7" t="str">
        <f t="shared" si="3"/>
        <v>Electronics</v>
      </c>
      <c r="D55" s="7" t="str">
        <f t="shared" si="4"/>
        <v>East</v>
      </c>
      <c r="E55" s="8">
        <f t="shared" si="5"/>
        <v>1821</v>
      </c>
      <c r="F55" s="8">
        <f t="shared" si="6"/>
        <v>528.09</v>
      </c>
      <c r="G55" s="9">
        <f t="shared" si="7"/>
        <v>6</v>
      </c>
      <c r="H55" s="7" t="str">
        <f t="shared" si="8"/>
        <v>Mar</v>
      </c>
      <c r="I55" s="7">
        <f t="shared" si="9"/>
        <v>3</v>
      </c>
    </row>
    <row r="56">
      <c r="A56" s="6">
        <f t="shared" si="1"/>
        <v>45797</v>
      </c>
      <c r="B56" s="7" t="str">
        <f t="shared" si="2"/>
        <v>Tablet</v>
      </c>
      <c r="C56" s="7" t="str">
        <f t="shared" si="3"/>
        <v>Electronics</v>
      </c>
      <c r="D56" s="7" t="str">
        <f t="shared" si="4"/>
        <v>North</v>
      </c>
      <c r="E56" s="8">
        <f t="shared" si="5"/>
        <v>1847</v>
      </c>
      <c r="F56" s="8">
        <f t="shared" si="6"/>
        <v>387.87</v>
      </c>
      <c r="G56" s="9">
        <f t="shared" si="7"/>
        <v>7</v>
      </c>
      <c r="H56" s="7" t="str">
        <f t="shared" si="8"/>
        <v>May</v>
      </c>
      <c r="I56" s="7">
        <f t="shared" si="9"/>
        <v>5</v>
      </c>
    </row>
    <row r="57">
      <c r="A57" s="6">
        <f t="shared" si="1"/>
        <v>45898</v>
      </c>
      <c r="B57" s="7" t="str">
        <f t="shared" si="2"/>
        <v>Table</v>
      </c>
      <c r="C57" s="7" t="str">
        <f t="shared" si="3"/>
        <v>Furniture</v>
      </c>
      <c r="D57" s="7" t="str">
        <f t="shared" si="4"/>
        <v>North</v>
      </c>
      <c r="E57" s="8">
        <f t="shared" si="5"/>
        <v>375</v>
      </c>
      <c r="F57" s="8">
        <f t="shared" si="6"/>
        <v>67.5</v>
      </c>
      <c r="G57" s="9">
        <f t="shared" si="7"/>
        <v>5</v>
      </c>
      <c r="H57" s="7" t="str">
        <f t="shared" si="8"/>
        <v>Aug</v>
      </c>
      <c r="I57" s="7">
        <f t="shared" si="9"/>
        <v>8</v>
      </c>
    </row>
    <row r="58">
      <c r="A58" s="6">
        <f t="shared" si="1"/>
        <v>45871</v>
      </c>
      <c r="B58" s="7" t="str">
        <f t="shared" si="2"/>
        <v>Laptop</v>
      </c>
      <c r="C58" s="7" t="str">
        <f t="shared" si="3"/>
        <v>Electronics</v>
      </c>
      <c r="D58" s="7" t="str">
        <f t="shared" si="4"/>
        <v>West</v>
      </c>
      <c r="E58" s="8">
        <f t="shared" si="5"/>
        <v>1896</v>
      </c>
      <c r="F58" s="8">
        <f t="shared" si="6"/>
        <v>492.96</v>
      </c>
      <c r="G58" s="9">
        <f t="shared" si="7"/>
        <v>7</v>
      </c>
      <c r="H58" s="7" t="str">
        <f t="shared" si="8"/>
        <v>Aug</v>
      </c>
      <c r="I58" s="7">
        <f t="shared" si="9"/>
        <v>8</v>
      </c>
    </row>
    <row r="59">
      <c r="A59" s="6">
        <f t="shared" si="1"/>
        <v>45836</v>
      </c>
      <c r="B59" s="7" t="str">
        <f t="shared" si="2"/>
        <v>Laptop</v>
      </c>
      <c r="C59" s="7" t="str">
        <f t="shared" si="3"/>
        <v>Electronics</v>
      </c>
      <c r="D59" s="7" t="str">
        <f t="shared" si="4"/>
        <v>East</v>
      </c>
      <c r="E59" s="8">
        <f t="shared" si="5"/>
        <v>1970</v>
      </c>
      <c r="F59" s="8">
        <f t="shared" si="6"/>
        <v>197</v>
      </c>
      <c r="G59" s="9">
        <f t="shared" si="7"/>
        <v>3</v>
      </c>
      <c r="H59" s="7" t="str">
        <f t="shared" si="8"/>
        <v>Jun</v>
      </c>
      <c r="I59" s="7">
        <f t="shared" si="9"/>
        <v>6</v>
      </c>
    </row>
    <row r="60">
      <c r="A60" s="6">
        <f t="shared" si="1"/>
        <v>45910</v>
      </c>
      <c r="B60" s="7" t="str">
        <f t="shared" si="2"/>
        <v>Tablet</v>
      </c>
      <c r="C60" s="7" t="str">
        <f t="shared" si="3"/>
        <v>Electronics</v>
      </c>
      <c r="D60" s="7" t="str">
        <f t="shared" si="4"/>
        <v>East</v>
      </c>
      <c r="E60" s="8">
        <f t="shared" si="5"/>
        <v>407</v>
      </c>
      <c r="F60" s="8">
        <f t="shared" si="6"/>
        <v>93.61</v>
      </c>
      <c r="G60" s="9">
        <f t="shared" si="7"/>
        <v>6</v>
      </c>
      <c r="H60" s="7" t="str">
        <f t="shared" si="8"/>
        <v>Sep</v>
      </c>
      <c r="I60" s="7">
        <f t="shared" si="9"/>
        <v>9</v>
      </c>
    </row>
    <row r="61">
      <c r="A61" s="6">
        <f t="shared" si="1"/>
        <v>45674</v>
      </c>
      <c r="B61" s="7" t="str">
        <f t="shared" si="2"/>
        <v>Monitor</v>
      </c>
      <c r="C61" s="7" t="str">
        <f t="shared" si="3"/>
        <v>Electronics</v>
      </c>
      <c r="D61" s="7" t="str">
        <f t="shared" si="4"/>
        <v>North</v>
      </c>
      <c r="E61" s="8">
        <f t="shared" si="5"/>
        <v>1840</v>
      </c>
      <c r="F61" s="8">
        <f t="shared" si="6"/>
        <v>276</v>
      </c>
      <c r="G61" s="9">
        <f t="shared" si="7"/>
        <v>5</v>
      </c>
      <c r="H61" s="7" t="str">
        <f t="shared" si="8"/>
        <v>Jan</v>
      </c>
      <c r="I61" s="7">
        <f t="shared" si="9"/>
        <v>1</v>
      </c>
    </row>
    <row r="62">
      <c r="A62" s="6">
        <f t="shared" si="1"/>
        <v>45944</v>
      </c>
      <c r="B62" s="7" t="str">
        <f t="shared" si="2"/>
        <v>Phone</v>
      </c>
      <c r="C62" s="7" t="str">
        <f t="shared" si="3"/>
        <v>Electronics</v>
      </c>
      <c r="D62" s="7" t="str">
        <f t="shared" si="4"/>
        <v>West</v>
      </c>
      <c r="E62" s="8">
        <f t="shared" si="5"/>
        <v>691</v>
      </c>
      <c r="F62" s="8">
        <f t="shared" si="6"/>
        <v>207.3</v>
      </c>
      <c r="G62" s="9">
        <f t="shared" si="7"/>
        <v>5</v>
      </c>
      <c r="H62" s="7" t="str">
        <f t="shared" si="8"/>
        <v>Oct</v>
      </c>
      <c r="I62" s="7">
        <f t="shared" si="9"/>
        <v>10</v>
      </c>
    </row>
    <row r="63">
      <c r="A63" s="6">
        <f t="shared" si="1"/>
        <v>46021</v>
      </c>
      <c r="B63" s="7" t="str">
        <f t="shared" si="2"/>
        <v>Monitor</v>
      </c>
      <c r="C63" s="7" t="str">
        <f t="shared" si="3"/>
        <v>Electronics</v>
      </c>
      <c r="D63" s="7" t="str">
        <f t="shared" si="4"/>
        <v>North</v>
      </c>
      <c r="E63" s="8">
        <f t="shared" si="5"/>
        <v>1559</v>
      </c>
      <c r="F63" s="8">
        <f t="shared" si="6"/>
        <v>358.57</v>
      </c>
      <c r="G63" s="9">
        <f t="shared" si="7"/>
        <v>8</v>
      </c>
      <c r="H63" s="7" t="str">
        <f t="shared" si="8"/>
        <v>Dec</v>
      </c>
      <c r="I63" s="7">
        <f t="shared" si="9"/>
        <v>12</v>
      </c>
    </row>
    <row r="64">
      <c r="A64" s="6">
        <f t="shared" si="1"/>
        <v>45677</v>
      </c>
      <c r="B64" s="7" t="str">
        <f t="shared" si="2"/>
        <v>Laptop</v>
      </c>
      <c r="C64" s="7" t="str">
        <f t="shared" si="3"/>
        <v>Electronics</v>
      </c>
      <c r="D64" s="7" t="str">
        <f t="shared" si="4"/>
        <v>East</v>
      </c>
      <c r="E64" s="8">
        <f t="shared" si="5"/>
        <v>1014</v>
      </c>
      <c r="F64" s="8">
        <f t="shared" si="6"/>
        <v>121.68</v>
      </c>
      <c r="G64" s="9">
        <f t="shared" si="7"/>
        <v>10</v>
      </c>
      <c r="H64" s="7" t="str">
        <f t="shared" si="8"/>
        <v>Jan</v>
      </c>
      <c r="I64" s="7">
        <f t="shared" si="9"/>
        <v>1</v>
      </c>
    </row>
    <row r="65">
      <c r="A65" s="6">
        <f t="shared" si="1"/>
        <v>45955</v>
      </c>
      <c r="B65" s="7" t="str">
        <f t="shared" si="2"/>
        <v>Monitor</v>
      </c>
      <c r="C65" s="7" t="str">
        <f t="shared" si="3"/>
        <v>Electronics</v>
      </c>
      <c r="D65" s="7" t="str">
        <f t="shared" si="4"/>
        <v>South</v>
      </c>
      <c r="E65" s="8">
        <f t="shared" si="5"/>
        <v>1506</v>
      </c>
      <c r="F65" s="8">
        <f t="shared" si="6"/>
        <v>421.68</v>
      </c>
      <c r="G65" s="9">
        <f t="shared" si="7"/>
        <v>3</v>
      </c>
      <c r="H65" s="7" t="str">
        <f t="shared" si="8"/>
        <v>Oct</v>
      </c>
      <c r="I65" s="7">
        <f t="shared" si="9"/>
        <v>10</v>
      </c>
    </row>
    <row r="66">
      <c r="A66" s="6">
        <f t="shared" si="1"/>
        <v>45784</v>
      </c>
      <c r="B66" s="7" t="str">
        <f t="shared" si="2"/>
        <v>Phone</v>
      </c>
      <c r="C66" s="7" t="str">
        <f t="shared" si="3"/>
        <v>Electronics</v>
      </c>
      <c r="D66" s="7" t="str">
        <f t="shared" si="4"/>
        <v>West</v>
      </c>
      <c r="E66" s="8">
        <f t="shared" si="5"/>
        <v>1075</v>
      </c>
      <c r="F66" s="8">
        <f t="shared" si="6"/>
        <v>193.5</v>
      </c>
      <c r="G66" s="9">
        <f t="shared" si="7"/>
        <v>10</v>
      </c>
      <c r="H66" s="7" t="str">
        <f t="shared" si="8"/>
        <v>May</v>
      </c>
      <c r="I66" s="7">
        <f t="shared" si="9"/>
        <v>5</v>
      </c>
    </row>
    <row r="67">
      <c r="A67" s="6">
        <f t="shared" si="1"/>
        <v>45788</v>
      </c>
      <c r="B67" s="7" t="str">
        <f t="shared" si="2"/>
        <v>Table</v>
      </c>
      <c r="C67" s="7" t="str">
        <f t="shared" si="3"/>
        <v>Furniture</v>
      </c>
      <c r="D67" s="7" t="str">
        <f t="shared" si="4"/>
        <v>North</v>
      </c>
      <c r="E67" s="8">
        <f t="shared" si="5"/>
        <v>1967</v>
      </c>
      <c r="F67" s="8">
        <f t="shared" si="6"/>
        <v>196.7</v>
      </c>
      <c r="G67" s="9">
        <f t="shared" si="7"/>
        <v>1</v>
      </c>
      <c r="H67" s="7" t="str">
        <f t="shared" si="8"/>
        <v>May</v>
      </c>
      <c r="I67" s="7">
        <f t="shared" si="9"/>
        <v>5</v>
      </c>
    </row>
    <row r="68">
      <c r="A68" s="6">
        <f t="shared" si="1"/>
        <v>45672</v>
      </c>
      <c r="B68" s="7" t="str">
        <f t="shared" si="2"/>
        <v>Phone</v>
      </c>
      <c r="C68" s="7" t="str">
        <f t="shared" si="3"/>
        <v>Electronics</v>
      </c>
      <c r="D68" s="7" t="str">
        <f t="shared" si="4"/>
        <v>East</v>
      </c>
      <c r="E68" s="8">
        <f t="shared" si="5"/>
        <v>1547</v>
      </c>
      <c r="F68" s="8">
        <f t="shared" si="6"/>
        <v>386.75</v>
      </c>
      <c r="G68" s="9">
        <f t="shared" si="7"/>
        <v>3</v>
      </c>
      <c r="H68" s="7" t="str">
        <f t="shared" si="8"/>
        <v>Jan</v>
      </c>
      <c r="I68" s="7">
        <f t="shared" si="9"/>
        <v>1</v>
      </c>
    </row>
    <row r="69">
      <c r="A69" s="6">
        <f t="shared" si="1"/>
        <v>45729</v>
      </c>
      <c r="B69" s="7" t="str">
        <f t="shared" si="2"/>
        <v>Tablet</v>
      </c>
      <c r="C69" s="7" t="str">
        <f t="shared" si="3"/>
        <v>Electronics</v>
      </c>
      <c r="D69" s="7" t="str">
        <f t="shared" si="4"/>
        <v>West</v>
      </c>
      <c r="E69" s="8">
        <f t="shared" si="5"/>
        <v>1616</v>
      </c>
      <c r="F69" s="8">
        <f t="shared" si="6"/>
        <v>242.4</v>
      </c>
      <c r="G69" s="9">
        <f t="shared" si="7"/>
        <v>6</v>
      </c>
      <c r="H69" s="7" t="str">
        <f t="shared" si="8"/>
        <v>Mar</v>
      </c>
      <c r="I69" s="7">
        <f t="shared" si="9"/>
        <v>3</v>
      </c>
    </row>
    <row r="70">
      <c r="A70" s="6">
        <f t="shared" si="1"/>
        <v>45752</v>
      </c>
      <c r="B70" s="7" t="str">
        <f t="shared" si="2"/>
        <v>Laptop</v>
      </c>
      <c r="C70" s="7" t="str">
        <f t="shared" si="3"/>
        <v>Electronics</v>
      </c>
      <c r="D70" s="7" t="str">
        <f t="shared" si="4"/>
        <v>West</v>
      </c>
      <c r="E70" s="8">
        <f t="shared" si="5"/>
        <v>1138</v>
      </c>
      <c r="F70" s="8">
        <f t="shared" si="6"/>
        <v>261.74</v>
      </c>
      <c r="G70" s="9">
        <f t="shared" si="7"/>
        <v>5</v>
      </c>
      <c r="H70" s="7" t="str">
        <f t="shared" si="8"/>
        <v>Apr</v>
      </c>
      <c r="I70" s="7">
        <f t="shared" si="9"/>
        <v>4</v>
      </c>
    </row>
    <row r="71">
      <c r="A71" s="6">
        <f t="shared" si="1"/>
        <v>46004</v>
      </c>
      <c r="B71" s="7" t="str">
        <f t="shared" si="2"/>
        <v>Table</v>
      </c>
      <c r="C71" s="7" t="str">
        <f t="shared" si="3"/>
        <v>Furniture</v>
      </c>
      <c r="D71" s="7" t="str">
        <f t="shared" si="4"/>
        <v>North</v>
      </c>
      <c r="E71" s="8">
        <f t="shared" si="5"/>
        <v>508</v>
      </c>
      <c r="F71" s="8">
        <f t="shared" si="6"/>
        <v>127</v>
      </c>
      <c r="G71" s="9">
        <f t="shared" si="7"/>
        <v>7</v>
      </c>
      <c r="H71" s="7" t="str">
        <f t="shared" si="8"/>
        <v>Dec</v>
      </c>
      <c r="I71" s="7">
        <f t="shared" si="9"/>
        <v>12</v>
      </c>
    </row>
    <row r="72">
      <c r="A72" s="6">
        <f t="shared" si="1"/>
        <v>45767</v>
      </c>
      <c r="B72" s="7" t="str">
        <f t="shared" si="2"/>
        <v>Phone</v>
      </c>
      <c r="C72" s="7" t="str">
        <f t="shared" si="3"/>
        <v>Electronics</v>
      </c>
      <c r="D72" s="7" t="str">
        <f t="shared" si="4"/>
        <v>West</v>
      </c>
      <c r="E72" s="8">
        <f t="shared" si="5"/>
        <v>1215</v>
      </c>
      <c r="F72" s="8">
        <f t="shared" si="6"/>
        <v>340.2</v>
      </c>
      <c r="G72" s="9">
        <f t="shared" si="7"/>
        <v>10</v>
      </c>
      <c r="H72" s="7" t="str">
        <f t="shared" si="8"/>
        <v>Apr</v>
      </c>
      <c r="I72" s="7">
        <f t="shared" si="9"/>
        <v>4</v>
      </c>
    </row>
    <row r="73">
      <c r="A73" s="6">
        <f t="shared" si="1"/>
        <v>45847</v>
      </c>
      <c r="B73" s="7" t="str">
        <f t="shared" si="2"/>
        <v>Table</v>
      </c>
      <c r="C73" s="7" t="str">
        <f t="shared" si="3"/>
        <v>Furniture</v>
      </c>
      <c r="D73" s="7" t="str">
        <f t="shared" si="4"/>
        <v>East</v>
      </c>
      <c r="E73" s="8">
        <f t="shared" si="5"/>
        <v>1359</v>
      </c>
      <c r="F73" s="8">
        <f t="shared" si="6"/>
        <v>339.75</v>
      </c>
      <c r="G73" s="9">
        <f t="shared" si="7"/>
        <v>6</v>
      </c>
      <c r="H73" s="7" t="str">
        <f t="shared" si="8"/>
        <v>Jul</v>
      </c>
      <c r="I73" s="7">
        <f t="shared" si="9"/>
        <v>7</v>
      </c>
    </row>
    <row r="74">
      <c r="A74" s="6">
        <f t="shared" si="1"/>
        <v>45839</v>
      </c>
      <c r="B74" s="7" t="str">
        <f t="shared" si="2"/>
        <v>Phone</v>
      </c>
      <c r="C74" s="7" t="str">
        <f t="shared" si="3"/>
        <v>Electronics</v>
      </c>
      <c r="D74" s="7" t="str">
        <f t="shared" si="4"/>
        <v>East</v>
      </c>
      <c r="E74" s="8">
        <f t="shared" si="5"/>
        <v>1069</v>
      </c>
      <c r="F74" s="8">
        <f t="shared" si="6"/>
        <v>235.18</v>
      </c>
      <c r="G74" s="9">
        <f t="shared" si="7"/>
        <v>10</v>
      </c>
      <c r="H74" s="7" t="str">
        <f t="shared" si="8"/>
        <v>Jul</v>
      </c>
      <c r="I74" s="7">
        <f t="shared" si="9"/>
        <v>7</v>
      </c>
    </row>
    <row r="75">
      <c r="A75" s="6">
        <f t="shared" si="1"/>
        <v>45848</v>
      </c>
      <c r="B75" s="7" t="str">
        <f t="shared" si="2"/>
        <v>Chair</v>
      </c>
      <c r="C75" s="7" t="str">
        <f t="shared" si="3"/>
        <v>Furniture</v>
      </c>
      <c r="D75" s="7" t="str">
        <f t="shared" si="4"/>
        <v>West</v>
      </c>
      <c r="E75" s="8">
        <f t="shared" si="5"/>
        <v>1663</v>
      </c>
      <c r="F75" s="8">
        <f t="shared" si="6"/>
        <v>415.75</v>
      </c>
      <c r="G75" s="9">
        <f t="shared" si="7"/>
        <v>9</v>
      </c>
      <c r="H75" s="7" t="str">
        <f t="shared" si="8"/>
        <v>Jul</v>
      </c>
      <c r="I75" s="7">
        <f t="shared" si="9"/>
        <v>7</v>
      </c>
    </row>
    <row r="76">
      <c r="A76" s="6">
        <f t="shared" si="1"/>
        <v>45859</v>
      </c>
      <c r="B76" s="7" t="str">
        <f t="shared" si="2"/>
        <v>Laptop</v>
      </c>
      <c r="C76" s="7" t="str">
        <f t="shared" si="3"/>
        <v>Electronics</v>
      </c>
      <c r="D76" s="7" t="str">
        <f t="shared" si="4"/>
        <v>South</v>
      </c>
      <c r="E76" s="8">
        <f t="shared" si="5"/>
        <v>1934</v>
      </c>
      <c r="F76" s="8">
        <f t="shared" si="6"/>
        <v>290.1</v>
      </c>
      <c r="G76" s="9">
        <f t="shared" si="7"/>
        <v>8</v>
      </c>
      <c r="H76" s="7" t="str">
        <f t="shared" si="8"/>
        <v>Jul</v>
      </c>
      <c r="I76" s="7">
        <f t="shared" si="9"/>
        <v>7</v>
      </c>
    </row>
    <row r="77">
      <c r="A77" s="6">
        <f t="shared" si="1"/>
        <v>45864</v>
      </c>
      <c r="B77" s="7" t="str">
        <f t="shared" si="2"/>
        <v>Monitor</v>
      </c>
      <c r="C77" s="7" t="str">
        <f t="shared" si="3"/>
        <v>Electronics</v>
      </c>
      <c r="D77" s="7" t="str">
        <f t="shared" si="4"/>
        <v>East</v>
      </c>
      <c r="E77" s="8">
        <f t="shared" si="5"/>
        <v>1574</v>
      </c>
      <c r="F77" s="8">
        <f t="shared" si="6"/>
        <v>283.32</v>
      </c>
      <c r="G77" s="9">
        <f t="shared" si="7"/>
        <v>1</v>
      </c>
      <c r="H77" s="7" t="str">
        <f t="shared" si="8"/>
        <v>Jul</v>
      </c>
      <c r="I77" s="7">
        <f t="shared" si="9"/>
        <v>7</v>
      </c>
    </row>
    <row r="78">
      <c r="A78" s="6">
        <f t="shared" si="1"/>
        <v>45809</v>
      </c>
      <c r="B78" s="7" t="str">
        <f t="shared" si="2"/>
        <v>Tablet</v>
      </c>
      <c r="C78" s="7" t="str">
        <f t="shared" si="3"/>
        <v>Electronics</v>
      </c>
      <c r="D78" s="7" t="str">
        <f t="shared" si="4"/>
        <v>West</v>
      </c>
      <c r="E78" s="8">
        <f t="shared" si="5"/>
        <v>1230</v>
      </c>
      <c r="F78" s="8">
        <f t="shared" si="6"/>
        <v>332.1</v>
      </c>
      <c r="G78" s="9">
        <f t="shared" si="7"/>
        <v>9</v>
      </c>
      <c r="H78" s="7" t="str">
        <f t="shared" si="8"/>
        <v>Jun</v>
      </c>
      <c r="I78" s="7">
        <f t="shared" si="9"/>
        <v>6</v>
      </c>
    </row>
    <row r="79">
      <c r="A79" s="6">
        <f t="shared" si="1"/>
        <v>45753</v>
      </c>
      <c r="B79" s="7" t="str">
        <f t="shared" si="2"/>
        <v>Tablet</v>
      </c>
      <c r="C79" s="7" t="str">
        <f t="shared" si="3"/>
        <v>Electronics</v>
      </c>
      <c r="D79" s="7" t="str">
        <f t="shared" si="4"/>
        <v>East</v>
      </c>
      <c r="E79" s="8">
        <f t="shared" si="5"/>
        <v>543</v>
      </c>
      <c r="F79" s="8">
        <f t="shared" si="6"/>
        <v>97.74</v>
      </c>
      <c r="G79" s="9">
        <f t="shared" si="7"/>
        <v>6</v>
      </c>
      <c r="H79" s="7" t="str">
        <f t="shared" si="8"/>
        <v>Apr</v>
      </c>
      <c r="I79" s="7">
        <f t="shared" si="9"/>
        <v>4</v>
      </c>
    </row>
    <row r="80">
      <c r="A80" s="6">
        <f t="shared" si="1"/>
        <v>45828</v>
      </c>
      <c r="B80" s="7" t="str">
        <f t="shared" si="2"/>
        <v>Phone</v>
      </c>
      <c r="C80" s="7" t="str">
        <f t="shared" si="3"/>
        <v>Electronics</v>
      </c>
      <c r="D80" s="7" t="str">
        <f t="shared" si="4"/>
        <v>North</v>
      </c>
      <c r="E80" s="8">
        <f t="shared" si="5"/>
        <v>1216</v>
      </c>
      <c r="F80" s="8">
        <f t="shared" si="6"/>
        <v>243.2</v>
      </c>
      <c r="G80" s="9">
        <f t="shared" si="7"/>
        <v>9</v>
      </c>
      <c r="H80" s="7" t="str">
        <f t="shared" si="8"/>
        <v>Jun</v>
      </c>
      <c r="I80" s="7">
        <f t="shared" si="9"/>
        <v>6</v>
      </c>
    </row>
    <row r="81">
      <c r="A81" s="6">
        <f t="shared" si="1"/>
        <v>45709</v>
      </c>
      <c r="B81" s="7" t="str">
        <f t="shared" si="2"/>
        <v>Table</v>
      </c>
      <c r="C81" s="7" t="str">
        <f t="shared" si="3"/>
        <v>Furniture</v>
      </c>
      <c r="D81" s="7" t="str">
        <f t="shared" si="4"/>
        <v>West</v>
      </c>
      <c r="E81" s="8">
        <f t="shared" si="5"/>
        <v>1954</v>
      </c>
      <c r="F81" s="8">
        <f t="shared" si="6"/>
        <v>195.4</v>
      </c>
      <c r="G81" s="9">
        <f t="shared" si="7"/>
        <v>2</v>
      </c>
      <c r="H81" s="7" t="str">
        <f t="shared" si="8"/>
        <v>Feb</v>
      </c>
      <c r="I81" s="7">
        <f t="shared" si="9"/>
        <v>2</v>
      </c>
    </row>
    <row r="82">
      <c r="A82" s="6">
        <f t="shared" si="1"/>
        <v>45807</v>
      </c>
      <c r="B82" s="7" t="str">
        <f t="shared" si="2"/>
        <v>Monitor</v>
      </c>
      <c r="C82" s="7" t="str">
        <f t="shared" si="3"/>
        <v>Electronics</v>
      </c>
      <c r="D82" s="7" t="str">
        <f t="shared" si="4"/>
        <v>West</v>
      </c>
      <c r="E82" s="8">
        <f t="shared" si="5"/>
        <v>777</v>
      </c>
      <c r="F82" s="8">
        <f t="shared" si="6"/>
        <v>108.78</v>
      </c>
      <c r="G82" s="9">
        <f t="shared" si="7"/>
        <v>10</v>
      </c>
      <c r="H82" s="7" t="str">
        <f t="shared" si="8"/>
        <v>May</v>
      </c>
      <c r="I82" s="7">
        <f t="shared" si="9"/>
        <v>5</v>
      </c>
    </row>
    <row r="83">
      <c r="A83" s="6">
        <f t="shared" si="1"/>
        <v>45804</v>
      </c>
      <c r="B83" s="7" t="str">
        <f t="shared" si="2"/>
        <v>Chair</v>
      </c>
      <c r="C83" s="7" t="str">
        <f t="shared" si="3"/>
        <v>Furniture</v>
      </c>
      <c r="D83" s="7" t="str">
        <f t="shared" si="4"/>
        <v>East</v>
      </c>
      <c r="E83" s="8">
        <f t="shared" si="5"/>
        <v>1438</v>
      </c>
      <c r="F83" s="8">
        <f t="shared" si="6"/>
        <v>431.4</v>
      </c>
      <c r="G83" s="9">
        <f t="shared" si="7"/>
        <v>6</v>
      </c>
      <c r="H83" s="7" t="str">
        <f t="shared" si="8"/>
        <v>May</v>
      </c>
      <c r="I83" s="7">
        <f t="shared" si="9"/>
        <v>5</v>
      </c>
    </row>
    <row r="84">
      <c r="A84" s="6">
        <f t="shared" si="1"/>
        <v>45990</v>
      </c>
      <c r="B84" s="7" t="str">
        <f t="shared" si="2"/>
        <v>Phone</v>
      </c>
      <c r="C84" s="7" t="str">
        <f t="shared" si="3"/>
        <v>Electronics</v>
      </c>
      <c r="D84" s="7" t="str">
        <f t="shared" si="4"/>
        <v>East</v>
      </c>
      <c r="E84" s="8">
        <f t="shared" si="5"/>
        <v>248</v>
      </c>
      <c r="F84" s="8">
        <f t="shared" si="6"/>
        <v>49.6</v>
      </c>
      <c r="G84" s="9">
        <f t="shared" si="7"/>
        <v>2</v>
      </c>
      <c r="H84" s="7" t="str">
        <f t="shared" si="8"/>
        <v>Nov</v>
      </c>
      <c r="I84" s="7">
        <f t="shared" si="9"/>
        <v>11</v>
      </c>
    </row>
    <row r="85">
      <c r="A85" s="6">
        <f t="shared" si="1"/>
        <v>45726</v>
      </c>
      <c r="B85" s="7" t="str">
        <f t="shared" si="2"/>
        <v>Laptop</v>
      </c>
      <c r="C85" s="7" t="str">
        <f t="shared" si="3"/>
        <v>Electronics</v>
      </c>
      <c r="D85" s="7" t="str">
        <f t="shared" si="4"/>
        <v>South</v>
      </c>
      <c r="E85" s="8">
        <f t="shared" si="5"/>
        <v>869</v>
      </c>
      <c r="F85" s="8">
        <f t="shared" si="6"/>
        <v>156.42</v>
      </c>
      <c r="G85" s="9">
        <f t="shared" si="7"/>
        <v>9</v>
      </c>
      <c r="H85" s="7" t="str">
        <f t="shared" si="8"/>
        <v>Mar</v>
      </c>
      <c r="I85" s="7">
        <f t="shared" si="9"/>
        <v>3</v>
      </c>
    </row>
    <row r="86">
      <c r="A86" s="6">
        <f t="shared" si="1"/>
        <v>45775</v>
      </c>
      <c r="B86" s="7" t="str">
        <f t="shared" si="2"/>
        <v>Chair</v>
      </c>
      <c r="C86" s="7" t="str">
        <f t="shared" si="3"/>
        <v>Furniture</v>
      </c>
      <c r="D86" s="7" t="str">
        <f t="shared" si="4"/>
        <v>South</v>
      </c>
      <c r="E86" s="8">
        <f t="shared" si="5"/>
        <v>311</v>
      </c>
      <c r="F86" s="8">
        <f t="shared" si="6"/>
        <v>83.97</v>
      </c>
      <c r="G86" s="9">
        <f t="shared" si="7"/>
        <v>7</v>
      </c>
      <c r="H86" s="7" t="str">
        <f t="shared" si="8"/>
        <v>Apr</v>
      </c>
      <c r="I86" s="7">
        <f t="shared" si="9"/>
        <v>4</v>
      </c>
    </row>
    <row r="87">
      <c r="A87" s="6">
        <f t="shared" si="1"/>
        <v>45778</v>
      </c>
      <c r="B87" s="7" t="str">
        <f t="shared" si="2"/>
        <v>Laptop</v>
      </c>
      <c r="C87" s="7" t="str">
        <f t="shared" si="3"/>
        <v>Electronics</v>
      </c>
      <c r="D87" s="7" t="str">
        <f t="shared" si="4"/>
        <v>South</v>
      </c>
      <c r="E87" s="8">
        <f t="shared" si="5"/>
        <v>752</v>
      </c>
      <c r="F87" s="8">
        <f t="shared" si="6"/>
        <v>225.6</v>
      </c>
      <c r="G87" s="9">
        <f t="shared" si="7"/>
        <v>5</v>
      </c>
      <c r="H87" s="7" t="str">
        <f t="shared" si="8"/>
        <v>May</v>
      </c>
      <c r="I87" s="7">
        <f t="shared" si="9"/>
        <v>5</v>
      </c>
    </row>
    <row r="88">
      <c r="A88" s="6">
        <f t="shared" si="1"/>
        <v>45805</v>
      </c>
      <c r="B88" s="7" t="str">
        <f t="shared" si="2"/>
        <v>Monitor</v>
      </c>
      <c r="C88" s="7" t="str">
        <f t="shared" si="3"/>
        <v>Electronics</v>
      </c>
      <c r="D88" s="7" t="str">
        <f t="shared" si="4"/>
        <v>West</v>
      </c>
      <c r="E88" s="8">
        <f t="shared" si="5"/>
        <v>1762</v>
      </c>
      <c r="F88" s="8">
        <f t="shared" si="6"/>
        <v>334.78</v>
      </c>
      <c r="G88" s="9">
        <f t="shared" si="7"/>
        <v>9</v>
      </c>
      <c r="H88" s="7" t="str">
        <f t="shared" si="8"/>
        <v>May</v>
      </c>
      <c r="I88" s="7">
        <f t="shared" si="9"/>
        <v>5</v>
      </c>
    </row>
    <row r="89">
      <c r="A89" s="6">
        <f t="shared" si="1"/>
        <v>45748</v>
      </c>
      <c r="B89" s="7" t="str">
        <f t="shared" si="2"/>
        <v>Table</v>
      </c>
      <c r="C89" s="7" t="str">
        <f t="shared" si="3"/>
        <v>Furniture</v>
      </c>
      <c r="D89" s="7" t="str">
        <f t="shared" si="4"/>
        <v>West</v>
      </c>
      <c r="E89" s="8">
        <f t="shared" si="5"/>
        <v>256</v>
      </c>
      <c r="F89" s="8">
        <f t="shared" si="6"/>
        <v>64</v>
      </c>
      <c r="G89" s="9">
        <f t="shared" si="7"/>
        <v>1</v>
      </c>
      <c r="H89" s="7" t="str">
        <f t="shared" si="8"/>
        <v>Apr</v>
      </c>
      <c r="I89" s="7">
        <f t="shared" si="9"/>
        <v>4</v>
      </c>
    </row>
    <row r="90">
      <c r="A90" s="6">
        <f t="shared" si="1"/>
        <v>45756</v>
      </c>
      <c r="B90" s="7" t="str">
        <f t="shared" si="2"/>
        <v>Table</v>
      </c>
      <c r="C90" s="7" t="str">
        <f t="shared" si="3"/>
        <v>Furniture</v>
      </c>
      <c r="D90" s="7" t="str">
        <f t="shared" si="4"/>
        <v>East</v>
      </c>
      <c r="E90" s="8">
        <f t="shared" si="5"/>
        <v>1672</v>
      </c>
      <c r="F90" s="8">
        <f t="shared" si="6"/>
        <v>434.72</v>
      </c>
      <c r="G90" s="9">
        <f t="shared" si="7"/>
        <v>8</v>
      </c>
      <c r="H90" s="7" t="str">
        <f t="shared" si="8"/>
        <v>Apr</v>
      </c>
      <c r="I90" s="7">
        <f t="shared" si="9"/>
        <v>4</v>
      </c>
    </row>
    <row r="91">
      <c r="A91" s="6">
        <f t="shared" si="1"/>
        <v>45849</v>
      </c>
      <c r="B91" s="7" t="str">
        <f t="shared" si="2"/>
        <v>Tablet</v>
      </c>
      <c r="C91" s="7" t="str">
        <f t="shared" si="3"/>
        <v>Electronics</v>
      </c>
      <c r="D91" s="7" t="str">
        <f t="shared" si="4"/>
        <v>South</v>
      </c>
      <c r="E91" s="8">
        <f t="shared" si="5"/>
        <v>209</v>
      </c>
      <c r="F91" s="8">
        <f t="shared" si="6"/>
        <v>56.43</v>
      </c>
      <c r="G91" s="9">
        <f t="shared" si="7"/>
        <v>9</v>
      </c>
      <c r="H91" s="7" t="str">
        <f t="shared" si="8"/>
        <v>Jul</v>
      </c>
      <c r="I91" s="7">
        <f t="shared" si="9"/>
        <v>7</v>
      </c>
    </row>
    <row r="92">
      <c r="A92" s="6">
        <f t="shared" si="1"/>
        <v>45852</v>
      </c>
      <c r="B92" s="7" t="str">
        <f t="shared" si="2"/>
        <v>Phone</v>
      </c>
      <c r="C92" s="7" t="str">
        <f t="shared" si="3"/>
        <v>Electronics</v>
      </c>
      <c r="D92" s="7" t="str">
        <f t="shared" si="4"/>
        <v>West</v>
      </c>
      <c r="E92" s="8">
        <f t="shared" si="5"/>
        <v>1116</v>
      </c>
      <c r="F92" s="8">
        <f t="shared" si="6"/>
        <v>334.8</v>
      </c>
      <c r="G92" s="9">
        <f t="shared" si="7"/>
        <v>7</v>
      </c>
      <c r="H92" s="7" t="str">
        <f t="shared" si="8"/>
        <v>Jul</v>
      </c>
      <c r="I92" s="7">
        <f t="shared" si="9"/>
        <v>7</v>
      </c>
    </row>
    <row r="93">
      <c r="A93" s="6">
        <f t="shared" si="1"/>
        <v>45682</v>
      </c>
      <c r="B93" s="7" t="str">
        <f t="shared" si="2"/>
        <v>Monitor</v>
      </c>
      <c r="C93" s="7" t="str">
        <f t="shared" si="3"/>
        <v>Electronics</v>
      </c>
      <c r="D93" s="7" t="str">
        <f t="shared" si="4"/>
        <v>East</v>
      </c>
      <c r="E93" s="8">
        <f t="shared" si="5"/>
        <v>394</v>
      </c>
      <c r="F93" s="8">
        <f t="shared" si="6"/>
        <v>47.28</v>
      </c>
      <c r="G93" s="9">
        <f t="shared" si="7"/>
        <v>6</v>
      </c>
      <c r="H93" s="7" t="str">
        <f t="shared" si="8"/>
        <v>Jan</v>
      </c>
      <c r="I93" s="7">
        <f t="shared" si="9"/>
        <v>1</v>
      </c>
    </row>
    <row r="94">
      <c r="A94" s="6">
        <f t="shared" si="1"/>
        <v>45720</v>
      </c>
      <c r="B94" s="7" t="str">
        <f t="shared" si="2"/>
        <v>Tablet</v>
      </c>
      <c r="C94" s="7" t="str">
        <f t="shared" si="3"/>
        <v>Electronics</v>
      </c>
      <c r="D94" s="7" t="str">
        <f t="shared" si="4"/>
        <v>North</v>
      </c>
      <c r="E94" s="8">
        <f t="shared" si="5"/>
        <v>1624</v>
      </c>
      <c r="F94" s="8">
        <f t="shared" si="6"/>
        <v>178.64</v>
      </c>
      <c r="G94" s="9">
        <f t="shared" si="7"/>
        <v>2</v>
      </c>
      <c r="H94" s="7" t="str">
        <f t="shared" si="8"/>
        <v>Mar</v>
      </c>
      <c r="I94" s="7">
        <f t="shared" si="9"/>
        <v>3</v>
      </c>
    </row>
    <row r="95">
      <c r="A95" s="6">
        <f t="shared" si="1"/>
        <v>45816</v>
      </c>
      <c r="B95" s="7" t="str">
        <f t="shared" si="2"/>
        <v>Laptop</v>
      </c>
      <c r="C95" s="7" t="str">
        <f t="shared" si="3"/>
        <v>Electronics</v>
      </c>
      <c r="D95" s="7" t="str">
        <f t="shared" si="4"/>
        <v>West</v>
      </c>
      <c r="E95" s="8">
        <f t="shared" si="5"/>
        <v>750</v>
      </c>
      <c r="F95" s="8">
        <f t="shared" si="6"/>
        <v>172.5</v>
      </c>
      <c r="G95" s="9">
        <f t="shared" si="7"/>
        <v>2</v>
      </c>
      <c r="H95" s="7" t="str">
        <f t="shared" si="8"/>
        <v>Jun</v>
      </c>
      <c r="I95" s="7">
        <f t="shared" si="9"/>
        <v>6</v>
      </c>
    </row>
    <row r="96">
      <c r="A96" s="6">
        <f t="shared" si="1"/>
        <v>45661</v>
      </c>
      <c r="B96" s="7" t="str">
        <f t="shared" si="2"/>
        <v>Phone</v>
      </c>
      <c r="C96" s="7" t="str">
        <f t="shared" si="3"/>
        <v>Electronics</v>
      </c>
      <c r="D96" s="7" t="str">
        <f t="shared" si="4"/>
        <v>East</v>
      </c>
      <c r="E96" s="8">
        <f t="shared" si="5"/>
        <v>1583</v>
      </c>
      <c r="F96" s="8">
        <f t="shared" si="6"/>
        <v>158.3</v>
      </c>
      <c r="G96" s="9">
        <f t="shared" si="7"/>
        <v>2</v>
      </c>
      <c r="H96" s="7" t="str">
        <f t="shared" si="8"/>
        <v>Jan</v>
      </c>
      <c r="I96" s="7">
        <f t="shared" si="9"/>
        <v>1</v>
      </c>
    </row>
    <row r="97">
      <c r="A97" s="6">
        <f t="shared" si="1"/>
        <v>45906</v>
      </c>
      <c r="B97" s="7" t="str">
        <f t="shared" si="2"/>
        <v>Phone</v>
      </c>
      <c r="C97" s="7" t="str">
        <f t="shared" si="3"/>
        <v>Electronics</v>
      </c>
      <c r="D97" s="7" t="str">
        <f t="shared" si="4"/>
        <v>South</v>
      </c>
      <c r="E97" s="8">
        <f t="shared" si="5"/>
        <v>1449</v>
      </c>
      <c r="F97" s="8">
        <f t="shared" si="6"/>
        <v>260.82</v>
      </c>
      <c r="G97" s="9">
        <f t="shared" si="7"/>
        <v>3</v>
      </c>
      <c r="H97" s="7" t="str">
        <f t="shared" si="8"/>
        <v>Sep</v>
      </c>
      <c r="I97" s="7">
        <f t="shared" si="9"/>
        <v>9</v>
      </c>
    </row>
    <row r="98">
      <c r="A98" s="6">
        <f t="shared" si="1"/>
        <v>46000</v>
      </c>
      <c r="B98" s="7" t="str">
        <f t="shared" si="2"/>
        <v>Tablet</v>
      </c>
      <c r="C98" s="7" t="str">
        <f t="shared" si="3"/>
        <v>Electronics</v>
      </c>
      <c r="D98" s="7" t="str">
        <f t="shared" si="4"/>
        <v>North</v>
      </c>
      <c r="E98" s="8">
        <f t="shared" si="5"/>
        <v>1110</v>
      </c>
      <c r="F98" s="8">
        <f t="shared" si="6"/>
        <v>199.8</v>
      </c>
      <c r="G98" s="9">
        <f t="shared" si="7"/>
        <v>5</v>
      </c>
      <c r="H98" s="7" t="str">
        <f t="shared" si="8"/>
        <v>Dec</v>
      </c>
      <c r="I98" s="7">
        <f t="shared" si="9"/>
        <v>12</v>
      </c>
    </row>
    <row r="99">
      <c r="A99" s="6">
        <f t="shared" si="1"/>
        <v>46016</v>
      </c>
      <c r="B99" s="7" t="str">
        <f t="shared" si="2"/>
        <v>Laptop</v>
      </c>
      <c r="C99" s="7" t="str">
        <f t="shared" si="3"/>
        <v>Electronics</v>
      </c>
      <c r="D99" s="7" t="str">
        <f t="shared" si="4"/>
        <v>East</v>
      </c>
      <c r="E99" s="8">
        <f t="shared" si="5"/>
        <v>1227</v>
      </c>
      <c r="F99" s="8">
        <f t="shared" si="6"/>
        <v>282.21</v>
      </c>
      <c r="G99" s="9">
        <f t="shared" si="7"/>
        <v>2</v>
      </c>
      <c r="H99" s="7" t="str">
        <f t="shared" si="8"/>
        <v>Dec</v>
      </c>
      <c r="I99" s="7">
        <f t="shared" si="9"/>
        <v>12</v>
      </c>
    </row>
    <row r="100">
      <c r="A100" s="6">
        <f t="shared" si="1"/>
        <v>45817</v>
      </c>
      <c r="B100" s="7" t="str">
        <f t="shared" si="2"/>
        <v>Table</v>
      </c>
      <c r="C100" s="7" t="str">
        <f t="shared" si="3"/>
        <v>Furniture</v>
      </c>
      <c r="D100" s="7" t="str">
        <f t="shared" si="4"/>
        <v>North</v>
      </c>
      <c r="E100" s="8">
        <f t="shared" si="5"/>
        <v>1219</v>
      </c>
      <c r="F100" s="8">
        <f t="shared" si="6"/>
        <v>207.23</v>
      </c>
      <c r="G100" s="9">
        <f t="shared" si="7"/>
        <v>6</v>
      </c>
      <c r="H100" s="7" t="str">
        <f t="shared" si="8"/>
        <v>Jun</v>
      </c>
      <c r="I100" s="7">
        <f t="shared" si="9"/>
        <v>6</v>
      </c>
    </row>
    <row r="101">
      <c r="A101" s="6">
        <f t="shared" si="1"/>
        <v>45776</v>
      </c>
      <c r="B101" s="7" t="str">
        <f t="shared" si="2"/>
        <v>Phone</v>
      </c>
      <c r="C101" s="7" t="str">
        <f t="shared" si="3"/>
        <v>Electronics</v>
      </c>
      <c r="D101" s="7" t="str">
        <f t="shared" si="4"/>
        <v>East</v>
      </c>
      <c r="E101" s="8">
        <f t="shared" si="5"/>
        <v>368</v>
      </c>
      <c r="F101" s="8">
        <f t="shared" si="6"/>
        <v>55.2</v>
      </c>
      <c r="G101" s="9">
        <f t="shared" si="7"/>
        <v>1</v>
      </c>
      <c r="H101" s="7" t="str">
        <f t="shared" si="8"/>
        <v>Apr</v>
      </c>
      <c r="I101" s="7">
        <f t="shared" si="9"/>
        <v>4</v>
      </c>
    </row>
    <row r="102">
      <c r="A102" s="6">
        <f t="shared" si="1"/>
        <v>45858</v>
      </c>
      <c r="B102" s="7" t="str">
        <f t="shared" si="2"/>
        <v>Phone</v>
      </c>
      <c r="C102" s="7" t="str">
        <f t="shared" si="3"/>
        <v>Electronics</v>
      </c>
      <c r="D102" s="7" t="str">
        <f t="shared" si="4"/>
        <v>South</v>
      </c>
      <c r="E102" s="8">
        <f t="shared" si="5"/>
        <v>554</v>
      </c>
      <c r="F102" s="8">
        <f t="shared" si="6"/>
        <v>60.94</v>
      </c>
      <c r="G102" s="9">
        <f t="shared" si="7"/>
        <v>7</v>
      </c>
      <c r="H102" s="7" t="str">
        <f t="shared" si="8"/>
        <v>Jul</v>
      </c>
      <c r="I102" s="7">
        <f t="shared" si="9"/>
        <v>7</v>
      </c>
    </row>
    <row r="103">
      <c r="A103" s="6">
        <f t="shared" si="1"/>
        <v>45708</v>
      </c>
      <c r="B103" s="7" t="str">
        <f t="shared" si="2"/>
        <v>Laptop</v>
      </c>
      <c r="C103" s="7" t="str">
        <f t="shared" si="3"/>
        <v>Electronics</v>
      </c>
      <c r="D103" s="7" t="str">
        <f t="shared" si="4"/>
        <v>West</v>
      </c>
      <c r="E103" s="8">
        <f t="shared" si="5"/>
        <v>690</v>
      </c>
      <c r="F103" s="8">
        <f t="shared" si="6"/>
        <v>179.4</v>
      </c>
      <c r="G103" s="9">
        <f t="shared" si="7"/>
        <v>1</v>
      </c>
      <c r="H103" s="7" t="str">
        <f t="shared" si="8"/>
        <v>Feb</v>
      </c>
      <c r="I103" s="7">
        <f t="shared" si="9"/>
        <v>2</v>
      </c>
    </row>
    <row r="104">
      <c r="A104" s="6">
        <f t="shared" si="1"/>
        <v>45825</v>
      </c>
      <c r="B104" s="7" t="str">
        <f t="shared" si="2"/>
        <v>Chair</v>
      </c>
      <c r="C104" s="7" t="str">
        <f t="shared" si="3"/>
        <v>Furniture</v>
      </c>
      <c r="D104" s="7" t="str">
        <f t="shared" si="4"/>
        <v>East</v>
      </c>
      <c r="E104" s="8">
        <f t="shared" si="5"/>
        <v>1094</v>
      </c>
      <c r="F104" s="8">
        <f t="shared" si="6"/>
        <v>317.26</v>
      </c>
      <c r="G104" s="9">
        <f t="shared" si="7"/>
        <v>4</v>
      </c>
      <c r="H104" s="7" t="str">
        <f t="shared" si="8"/>
        <v>Jun</v>
      </c>
      <c r="I104" s="7">
        <f t="shared" si="9"/>
        <v>6</v>
      </c>
    </row>
    <row r="105">
      <c r="A105" s="6">
        <f t="shared" si="1"/>
        <v>45723</v>
      </c>
      <c r="B105" s="7" t="str">
        <f t="shared" si="2"/>
        <v>Monitor</v>
      </c>
      <c r="C105" s="7" t="str">
        <f t="shared" si="3"/>
        <v>Electronics</v>
      </c>
      <c r="D105" s="7" t="str">
        <f t="shared" si="4"/>
        <v>East</v>
      </c>
      <c r="E105" s="8">
        <f t="shared" si="5"/>
        <v>244</v>
      </c>
      <c r="F105" s="8">
        <f t="shared" si="6"/>
        <v>29.28</v>
      </c>
      <c r="G105" s="9">
        <f t="shared" si="7"/>
        <v>6</v>
      </c>
      <c r="H105" s="7" t="str">
        <f t="shared" si="8"/>
        <v>Mar</v>
      </c>
      <c r="I105" s="7">
        <f t="shared" si="9"/>
        <v>3</v>
      </c>
    </row>
    <row r="106">
      <c r="A106" s="6">
        <f t="shared" si="1"/>
        <v>45836</v>
      </c>
      <c r="B106" s="7" t="str">
        <f t="shared" si="2"/>
        <v>Laptop</v>
      </c>
      <c r="C106" s="7" t="str">
        <f t="shared" si="3"/>
        <v>Electronics</v>
      </c>
      <c r="D106" s="7" t="str">
        <f t="shared" si="4"/>
        <v>East</v>
      </c>
      <c r="E106" s="8">
        <f t="shared" si="5"/>
        <v>996</v>
      </c>
      <c r="F106" s="8">
        <f t="shared" si="6"/>
        <v>209.16</v>
      </c>
      <c r="G106" s="9">
        <f t="shared" si="7"/>
        <v>6</v>
      </c>
      <c r="H106" s="7" t="str">
        <f t="shared" si="8"/>
        <v>Jun</v>
      </c>
      <c r="I106" s="7">
        <f t="shared" si="9"/>
        <v>6</v>
      </c>
    </row>
    <row r="107">
      <c r="A107" s="6">
        <f t="shared" si="1"/>
        <v>45912</v>
      </c>
      <c r="B107" s="7" t="str">
        <f t="shared" si="2"/>
        <v>Tablet</v>
      </c>
      <c r="C107" s="7" t="str">
        <f t="shared" si="3"/>
        <v>Electronics</v>
      </c>
      <c r="D107" s="7" t="str">
        <f t="shared" si="4"/>
        <v>West</v>
      </c>
      <c r="E107" s="8">
        <f t="shared" si="5"/>
        <v>1222</v>
      </c>
      <c r="F107" s="8">
        <f t="shared" si="6"/>
        <v>244.4</v>
      </c>
      <c r="G107" s="9">
        <f t="shared" si="7"/>
        <v>5</v>
      </c>
      <c r="H107" s="7" t="str">
        <f t="shared" si="8"/>
        <v>Sep</v>
      </c>
      <c r="I107" s="7">
        <f t="shared" si="9"/>
        <v>9</v>
      </c>
    </row>
    <row r="108">
      <c r="A108" s="6">
        <f t="shared" si="1"/>
        <v>45967</v>
      </c>
      <c r="B108" s="7" t="str">
        <f t="shared" si="2"/>
        <v>Laptop</v>
      </c>
      <c r="C108" s="7" t="str">
        <f t="shared" si="3"/>
        <v>Electronics</v>
      </c>
      <c r="D108" s="7" t="str">
        <f t="shared" si="4"/>
        <v>South</v>
      </c>
      <c r="E108" s="8">
        <f t="shared" si="5"/>
        <v>293</v>
      </c>
      <c r="F108" s="8">
        <f t="shared" si="6"/>
        <v>84.97</v>
      </c>
      <c r="G108" s="9">
        <f t="shared" si="7"/>
        <v>7</v>
      </c>
      <c r="H108" s="7" t="str">
        <f t="shared" si="8"/>
        <v>Nov</v>
      </c>
      <c r="I108" s="7">
        <f t="shared" si="9"/>
        <v>11</v>
      </c>
    </row>
    <row r="109">
      <c r="A109" s="6">
        <f t="shared" si="1"/>
        <v>45658</v>
      </c>
      <c r="B109" s="7" t="str">
        <f t="shared" si="2"/>
        <v>Monitor</v>
      </c>
      <c r="C109" s="7" t="str">
        <f t="shared" si="3"/>
        <v>Electronics</v>
      </c>
      <c r="D109" s="7" t="str">
        <f t="shared" si="4"/>
        <v>South</v>
      </c>
      <c r="E109" s="8">
        <f t="shared" si="5"/>
        <v>1311</v>
      </c>
      <c r="F109" s="8">
        <f t="shared" si="6"/>
        <v>157.32</v>
      </c>
      <c r="G109" s="9">
        <f t="shared" si="7"/>
        <v>10</v>
      </c>
      <c r="H109" s="7" t="str">
        <f t="shared" si="8"/>
        <v>Jan</v>
      </c>
      <c r="I109" s="7">
        <f t="shared" si="9"/>
        <v>1</v>
      </c>
    </row>
    <row r="110">
      <c r="A110" s="6">
        <f t="shared" si="1"/>
        <v>45917</v>
      </c>
      <c r="B110" s="7" t="str">
        <f t="shared" si="2"/>
        <v>Phone</v>
      </c>
      <c r="C110" s="7" t="str">
        <f t="shared" si="3"/>
        <v>Electronics</v>
      </c>
      <c r="D110" s="7" t="str">
        <f t="shared" si="4"/>
        <v>East</v>
      </c>
      <c r="E110" s="8">
        <f t="shared" si="5"/>
        <v>548</v>
      </c>
      <c r="F110" s="8">
        <f t="shared" si="6"/>
        <v>65.76</v>
      </c>
      <c r="G110" s="9">
        <f t="shared" si="7"/>
        <v>2</v>
      </c>
      <c r="H110" s="7" t="str">
        <f t="shared" si="8"/>
        <v>Sep</v>
      </c>
      <c r="I110" s="7">
        <f t="shared" si="9"/>
        <v>9</v>
      </c>
    </row>
    <row r="111">
      <c r="A111" s="6">
        <f t="shared" si="1"/>
        <v>45711</v>
      </c>
      <c r="B111" s="7" t="str">
        <f t="shared" si="2"/>
        <v>Chair</v>
      </c>
      <c r="C111" s="7" t="str">
        <f t="shared" si="3"/>
        <v>Furniture</v>
      </c>
      <c r="D111" s="7" t="str">
        <f t="shared" si="4"/>
        <v>North</v>
      </c>
      <c r="E111" s="8">
        <f t="shared" si="5"/>
        <v>1096</v>
      </c>
      <c r="F111" s="8">
        <f t="shared" si="6"/>
        <v>241.12</v>
      </c>
      <c r="G111" s="9">
        <f t="shared" si="7"/>
        <v>2</v>
      </c>
      <c r="H111" s="7" t="str">
        <f t="shared" si="8"/>
        <v>Feb</v>
      </c>
      <c r="I111" s="7">
        <f t="shared" si="9"/>
        <v>2</v>
      </c>
    </row>
    <row r="112">
      <c r="A112" s="6">
        <f t="shared" si="1"/>
        <v>45753</v>
      </c>
      <c r="B112" s="7" t="str">
        <f t="shared" si="2"/>
        <v>Chair</v>
      </c>
      <c r="C112" s="7" t="str">
        <f t="shared" si="3"/>
        <v>Furniture</v>
      </c>
      <c r="D112" s="7" t="str">
        <f t="shared" si="4"/>
        <v>South</v>
      </c>
      <c r="E112" s="8">
        <f t="shared" si="5"/>
        <v>1456</v>
      </c>
      <c r="F112" s="8">
        <f t="shared" si="6"/>
        <v>218.4</v>
      </c>
      <c r="G112" s="9">
        <f t="shared" si="7"/>
        <v>2</v>
      </c>
      <c r="H112" s="7" t="str">
        <f t="shared" si="8"/>
        <v>Apr</v>
      </c>
      <c r="I112" s="7">
        <f t="shared" si="9"/>
        <v>4</v>
      </c>
    </row>
    <row r="113">
      <c r="A113" s="6">
        <f t="shared" si="1"/>
        <v>45795</v>
      </c>
      <c r="B113" s="7" t="str">
        <f t="shared" si="2"/>
        <v>Monitor</v>
      </c>
      <c r="C113" s="7" t="str">
        <f t="shared" si="3"/>
        <v>Electronics</v>
      </c>
      <c r="D113" s="7" t="str">
        <f t="shared" si="4"/>
        <v>East</v>
      </c>
      <c r="E113" s="8">
        <f t="shared" si="5"/>
        <v>1953</v>
      </c>
      <c r="F113" s="8">
        <f t="shared" si="6"/>
        <v>371.07</v>
      </c>
      <c r="G113" s="9">
        <f t="shared" si="7"/>
        <v>3</v>
      </c>
      <c r="H113" s="7" t="str">
        <f t="shared" si="8"/>
        <v>May</v>
      </c>
      <c r="I113" s="7">
        <f t="shared" si="9"/>
        <v>5</v>
      </c>
    </row>
    <row r="114">
      <c r="A114" s="6">
        <f t="shared" si="1"/>
        <v>45743</v>
      </c>
      <c r="B114" s="7" t="str">
        <f t="shared" si="2"/>
        <v>Tablet</v>
      </c>
      <c r="C114" s="7" t="str">
        <f t="shared" si="3"/>
        <v>Electronics</v>
      </c>
      <c r="D114" s="7" t="str">
        <f t="shared" si="4"/>
        <v>South</v>
      </c>
      <c r="E114" s="8">
        <f t="shared" si="5"/>
        <v>708</v>
      </c>
      <c r="F114" s="8">
        <f t="shared" si="6"/>
        <v>169.92</v>
      </c>
      <c r="G114" s="9">
        <f t="shared" si="7"/>
        <v>1</v>
      </c>
      <c r="H114" s="7" t="str">
        <f t="shared" si="8"/>
        <v>Mar</v>
      </c>
      <c r="I114" s="7">
        <f t="shared" si="9"/>
        <v>3</v>
      </c>
    </row>
    <row r="115">
      <c r="A115" s="6">
        <f t="shared" si="1"/>
        <v>45791</v>
      </c>
      <c r="B115" s="7" t="str">
        <f t="shared" si="2"/>
        <v>Chair</v>
      </c>
      <c r="C115" s="7" t="str">
        <f t="shared" si="3"/>
        <v>Furniture</v>
      </c>
      <c r="D115" s="7" t="str">
        <f t="shared" si="4"/>
        <v>East</v>
      </c>
      <c r="E115" s="8">
        <f t="shared" si="5"/>
        <v>489</v>
      </c>
      <c r="F115" s="8">
        <f t="shared" si="6"/>
        <v>107.58</v>
      </c>
      <c r="G115" s="9">
        <f t="shared" si="7"/>
        <v>3</v>
      </c>
      <c r="H115" s="7" t="str">
        <f t="shared" si="8"/>
        <v>May</v>
      </c>
      <c r="I115" s="7">
        <f t="shared" si="9"/>
        <v>5</v>
      </c>
    </row>
    <row r="116">
      <c r="A116" s="6">
        <f t="shared" si="1"/>
        <v>45966</v>
      </c>
      <c r="B116" s="7" t="str">
        <f t="shared" si="2"/>
        <v>Phone</v>
      </c>
      <c r="C116" s="7" t="str">
        <f t="shared" si="3"/>
        <v>Electronics</v>
      </c>
      <c r="D116" s="7" t="str">
        <f t="shared" si="4"/>
        <v>South</v>
      </c>
      <c r="E116" s="8">
        <f t="shared" si="5"/>
        <v>1500</v>
      </c>
      <c r="F116" s="8">
        <f t="shared" si="6"/>
        <v>165</v>
      </c>
      <c r="G116" s="9">
        <f t="shared" si="7"/>
        <v>10</v>
      </c>
      <c r="H116" s="7" t="str">
        <f t="shared" si="8"/>
        <v>Nov</v>
      </c>
      <c r="I116" s="7">
        <f t="shared" si="9"/>
        <v>11</v>
      </c>
    </row>
    <row r="117">
      <c r="A117" s="6">
        <f t="shared" si="1"/>
        <v>45845</v>
      </c>
      <c r="B117" s="7" t="str">
        <f t="shared" si="2"/>
        <v>Tablet</v>
      </c>
      <c r="C117" s="7" t="str">
        <f t="shared" si="3"/>
        <v>Electronics</v>
      </c>
      <c r="D117" s="7" t="str">
        <f t="shared" si="4"/>
        <v>West</v>
      </c>
      <c r="E117" s="8">
        <f t="shared" si="5"/>
        <v>1116</v>
      </c>
      <c r="F117" s="8">
        <f t="shared" si="6"/>
        <v>279</v>
      </c>
      <c r="G117" s="9">
        <f t="shared" si="7"/>
        <v>7</v>
      </c>
      <c r="H117" s="7" t="str">
        <f t="shared" si="8"/>
        <v>Jul</v>
      </c>
      <c r="I117" s="7">
        <f t="shared" si="9"/>
        <v>7</v>
      </c>
    </row>
    <row r="118">
      <c r="A118" s="6">
        <f t="shared" si="1"/>
        <v>45938</v>
      </c>
      <c r="B118" s="7" t="str">
        <f t="shared" si="2"/>
        <v>Tablet</v>
      </c>
      <c r="C118" s="7" t="str">
        <f t="shared" si="3"/>
        <v>Electronics</v>
      </c>
      <c r="D118" s="7" t="str">
        <f t="shared" si="4"/>
        <v>West</v>
      </c>
      <c r="E118" s="8">
        <f t="shared" si="5"/>
        <v>592</v>
      </c>
      <c r="F118" s="8">
        <f t="shared" si="6"/>
        <v>148</v>
      </c>
      <c r="G118" s="9">
        <f t="shared" si="7"/>
        <v>5</v>
      </c>
      <c r="H118" s="7" t="str">
        <f t="shared" si="8"/>
        <v>Oct</v>
      </c>
      <c r="I118" s="7">
        <f t="shared" si="9"/>
        <v>10</v>
      </c>
    </row>
    <row r="119">
      <c r="A119" s="6">
        <f t="shared" si="1"/>
        <v>45879</v>
      </c>
      <c r="B119" s="7" t="str">
        <f t="shared" si="2"/>
        <v>Phone</v>
      </c>
      <c r="C119" s="7" t="str">
        <f t="shared" si="3"/>
        <v>Electronics</v>
      </c>
      <c r="D119" s="7" t="str">
        <f t="shared" si="4"/>
        <v>East</v>
      </c>
      <c r="E119" s="8">
        <f t="shared" si="5"/>
        <v>749</v>
      </c>
      <c r="F119" s="8">
        <f t="shared" si="6"/>
        <v>134.82</v>
      </c>
      <c r="G119" s="9">
        <f t="shared" si="7"/>
        <v>8</v>
      </c>
      <c r="H119" s="7" t="str">
        <f t="shared" si="8"/>
        <v>Aug</v>
      </c>
      <c r="I119" s="7">
        <f t="shared" si="9"/>
        <v>8</v>
      </c>
    </row>
    <row r="120">
      <c r="A120" s="6">
        <f t="shared" si="1"/>
        <v>45882</v>
      </c>
      <c r="B120" s="7" t="str">
        <f t="shared" si="2"/>
        <v>Laptop</v>
      </c>
      <c r="C120" s="7" t="str">
        <f t="shared" si="3"/>
        <v>Electronics</v>
      </c>
      <c r="D120" s="7" t="str">
        <f t="shared" si="4"/>
        <v>South</v>
      </c>
      <c r="E120" s="8">
        <f t="shared" si="5"/>
        <v>1547</v>
      </c>
      <c r="F120" s="8">
        <f t="shared" si="6"/>
        <v>262.99</v>
      </c>
      <c r="G120" s="9">
        <f t="shared" si="7"/>
        <v>1</v>
      </c>
      <c r="H120" s="7" t="str">
        <f t="shared" si="8"/>
        <v>Aug</v>
      </c>
      <c r="I120" s="7">
        <f t="shared" si="9"/>
        <v>8</v>
      </c>
    </row>
    <row r="121">
      <c r="A121" s="6">
        <f t="shared" si="1"/>
        <v>45739</v>
      </c>
      <c r="B121" s="7" t="str">
        <f t="shared" si="2"/>
        <v>Chair</v>
      </c>
      <c r="C121" s="7" t="str">
        <f t="shared" si="3"/>
        <v>Furniture</v>
      </c>
      <c r="D121" s="7" t="str">
        <f t="shared" si="4"/>
        <v>North</v>
      </c>
      <c r="E121" s="8">
        <f t="shared" si="5"/>
        <v>588</v>
      </c>
      <c r="F121" s="8">
        <f t="shared" si="6"/>
        <v>147</v>
      </c>
      <c r="G121" s="9">
        <f t="shared" si="7"/>
        <v>4</v>
      </c>
      <c r="H121" s="7" t="str">
        <f t="shared" si="8"/>
        <v>Mar</v>
      </c>
      <c r="I121" s="7">
        <f t="shared" si="9"/>
        <v>3</v>
      </c>
    </row>
    <row r="122">
      <c r="A122" s="6">
        <f t="shared" si="1"/>
        <v>45687</v>
      </c>
      <c r="B122" s="7" t="str">
        <f t="shared" si="2"/>
        <v>Table</v>
      </c>
      <c r="C122" s="7" t="str">
        <f t="shared" si="3"/>
        <v>Furniture</v>
      </c>
      <c r="D122" s="7" t="str">
        <f t="shared" si="4"/>
        <v>North</v>
      </c>
      <c r="E122" s="8">
        <f t="shared" si="5"/>
        <v>1241</v>
      </c>
      <c r="F122" s="8">
        <f t="shared" si="6"/>
        <v>335.07</v>
      </c>
      <c r="G122" s="9">
        <f t="shared" si="7"/>
        <v>8</v>
      </c>
      <c r="H122" s="7" t="str">
        <f t="shared" si="8"/>
        <v>Jan</v>
      </c>
      <c r="I122" s="7">
        <f t="shared" si="9"/>
        <v>1</v>
      </c>
    </row>
    <row r="123">
      <c r="A123" s="6">
        <f t="shared" si="1"/>
        <v>45729</v>
      </c>
      <c r="B123" s="7" t="str">
        <f t="shared" si="2"/>
        <v>Chair</v>
      </c>
      <c r="C123" s="7" t="str">
        <f t="shared" si="3"/>
        <v>Furniture</v>
      </c>
      <c r="D123" s="7" t="str">
        <f t="shared" si="4"/>
        <v>North</v>
      </c>
      <c r="E123" s="8">
        <f t="shared" si="5"/>
        <v>1737</v>
      </c>
      <c r="F123" s="8">
        <f t="shared" si="6"/>
        <v>382.14</v>
      </c>
      <c r="G123" s="9">
        <f t="shared" si="7"/>
        <v>4</v>
      </c>
      <c r="H123" s="7" t="str">
        <f t="shared" si="8"/>
        <v>Mar</v>
      </c>
      <c r="I123" s="7">
        <f t="shared" si="9"/>
        <v>3</v>
      </c>
    </row>
    <row r="124">
      <c r="A124" s="6">
        <f t="shared" si="1"/>
        <v>45859</v>
      </c>
      <c r="B124" s="7" t="str">
        <f t="shared" si="2"/>
        <v>Table</v>
      </c>
      <c r="C124" s="7" t="str">
        <f t="shared" si="3"/>
        <v>Furniture</v>
      </c>
      <c r="D124" s="7" t="str">
        <f t="shared" si="4"/>
        <v>North</v>
      </c>
      <c r="E124" s="8">
        <f t="shared" si="5"/>
        <v>340</v>
      </c>
      <c r="F124" s="8">
        <f t="shared" si="6"/>
        <v>98.6</v>
      </c>
      <c r="G124" s="9">
        <f t="shared" si="7"/>
        <v>8</v>
      </c>
      <c r="H124" s="7" t="str">
        <f t="shared" si="8"/>
        <v>Jul</v>
      </c>
      <c r="I124" s="7">
        <f t="shared" si="9"/>
        <v>7</v>
      </c>
    </row>
    <row r="125">
      <c r="A125" s="6">
        <f t="shared" si="1"/>
        <v>45986</v>
      </c>
      <c r="B125" s="7" t="str">
        <f t="shared" si="2"/>
        <v>Monitor</v>
      </c>
      <c r="C125" s="7" t="str">
        <f t="shared" si="3"/>
        <v>Electronics</v>
      </c>
      <c r="D125" s="7" t="str">
        <f t="shared" si="4"/>
        <v>East</v>
      </c>
      <c r="E125" s="8">
        <f t="shared" si="5"/>
        <v>1150</v>
      </c>
      <c r="F125" s="8">
        <f t="shared" si="6"/>
        <v>218.5</v>
      </c>
      <c r="G125" s="9">
        <f t="shared" si="7"/>
        <v>6</v>
      </c>
      <c r="H125" s="7" t="str">
        <f t="shared" si="8"/>
        <v>Nov</v>
      </c>
      <c r="I125" s="7">
        <f t="shared" si="9"/>
        <v>11</v>
      </c>
    </row>
    <row r="126">
      <c r="A126" s="6">
        <f t="shared" si="1"/>
        <v>45970</v>
      </c>
      <c r="B126" s="7" t="str">
        <f t="shared" si="2"/>
        <v>Chair</v>
      </c>
      <c r="C126" s="7" t="str">
        <f t="shared" si="3"/>
        <v>Furniture</v>
      </c>
      <c r="D126" s="7" t="str">
        <f t="shared" si="4"/>
        <v>South</v>
      </c>
      <c r="E126" s="8">
        <f t="shared" si="5"/>
        <v>1259</v>
      </c>
      <c r="F126" s="8">
        <f t="shared" si="6"/>
        <v>289.57</v>
      </c>
      <c r="G126" s="9">
        <f t="shared" si="7"/>
        <v>2</v>
      </c>
      <c r="H126" s="7" t="str">
        <f t="shared" si="8"/>
        <v>Nov</v>
      </c>
      <c r="I126" s="7">
        <f t="shared" si="9"/>
        <v>11</v>
      </c>
    </row>
    <row r="127">
      <c r="A127" s="6">
        <f t="shared" si="1"/>
        <v>45708</v>
      </c>
      <c r="B127" s="7" t="str">
        <f t="shared" si="2"/>
        <v>Phone</v>
      </c>
      <c r="C127" s="7" t="str">
        <f t="shared" si="3"/>
        <v>Electronics</v>
      </c>
      <c r="D127" s="7" t="str">
        <f t="shared" si="4"/>
        <v>East</v>
      </c>
      <c r="E127" s="8">
        <f t="shared" si="5"/>
        <v>275</v>
      </c>
      <c r="F127" s="8">
        <f t="shared" si="6"/>
        <v>79.75</v>
      </c>
      <c r="G127" s="9">
        <f t="shared" si="7"/>
        <v>9</v>
      </c>
      <c r="H127" s="7" t="str">
        <f t="shared" si="8"/>
        <v>Feb</v>
      </c>
      <c r="I127" s="7">
        <f t="shared" si="9"/>
        <v>2</v>
      </c>
    </row>
    <row r="128">
      <c r="A128" s="6">
        <f t="shared" si="1"/>
        <v>45893</v>
      </c>
      <c r="B128" s="7" t="str">
        <f t="shared" si="2"/>
        <v>Laptop</v>
      </c>
      <c r="C128" s="7" t="str">
        <f t="shared" si="3"/>
        <v>Electronics</v>
      </c>
      <c r="D128" s="7" t="str">
        <f t="shared" si="4"/>
        <v>North</v>
      </c>
      <c r="E128" s="8">
        <f t="shared" si="5"/>
        <v>1236</v>
      </c>
      <c r="F128" s="8">
        <f t="shared" si="6"/>
        <v>222.48</v>
      </c>
      <c r="G128" s="9">
        <f t="shared" si="7"/>
        <v>2</v>
      </c>
      <c r="H128" s="7" t="str">
        <f t="shared" si="8"/>
        <v>Aug</v>
      </c>
      <c r="I128" s="7">
        <f t="shared" si="9"/>
        <v>8</v>
      </c>
    </row>
    <row r="129">
      <c r="A129" s="6">
        <f t="shared" si="1"/>
        <v>45728</v>
      </c>
      <c r="B129" s="7" t="str">
        <f t="shared" si="2"/>
        <v>Tablet</v>
      </c>
      <c r="C129" s="7" t="str">
        <f t="shared" si="3"/>
        <v>Electronics</v>
      </c>
      <c r="D129" s="7" t="str">
        <f t="shared" si="4"/>
        <v>East</v>
      </c>
      <c r="E129" s="8">
        <f t="shared" si="5"/>
        <v>1013</v>
      </c>
      <c r="F129" s="8">
        <f t="shared" si="6"/>
        <v>111.43</v>
      </c>
      <c r="G129" s="9">
        <f t="shared" si="7"/>
        <v>9</v>
      </c>
      <c r="H129" s="7" t="str">
        <f t="shared" si="8"/>
        <v>Mar</v>
      </c>
      <c r="I129" s="7">
        <f t="shared" si="9"/>
        <v>3</v>
      </c>
    </row>
    <row r="130">
      <c r="A130" s="6">
        <f t="shared" si="1"/>
        <v>45867</v>
      </c>
      <c r="B130" s="7" t="str">
        <f t="shared" si="2"/>
        <v>Table</v>
      </c>
      <c r="C130" s="7" t="str">
        <f t="shared" si="3"/>
        <v>Furniture</v>
      </c>
      <c r="D130" s="7" t="str">
        <f t="shared" si="4"/>
        <v>West</v>
      </c>
      <c r="E130" s="8">
        <f t="shared" si="5"/>
        <v>1162</v>
      </c>
      <c r="F130" s="8">
        <f t="shared" si="6"/>
        <v>313.74</v>
      </c>
      <c r="G130" s="9">
        <f t="shared" si="7"/>
        <v>6</v>
      </c>
      <c r="H130" s="7" t="str">
        <f t="shared" si="8"/>
        <v>Jul</v>
      </c>
      <c r="I130" s="7">
        <f t="shared" si="9"/>
        <v>7</v>
      </c>
    </row>
    <row r="131">
      <c r="A131" s="6">
        <f t="shared" si="1"/>
        <v>45968</v>
      </c>
      <c r="B131" s="7" t="str">
        <f t="shared" si="2"/>
        <v>Tablet</v>
      </c>
      <c r="C131" s="7" t="str">
        <f t="shared" si="3"/>
        <v>Electronics</v>
      </c>
      <c r="D131" s="7" t="str">
        <f t="shared" si="4"/>
        <v>East</v>
      </c>
      <c r="E131" s="8">
        <f t="shared" si="5"/>
        <v>1983</v>
      </c>
      <c r="F131" s="8">
        <f t="shared" si="6"/>
        <v>575.07</v>
      </c>
      <c r="G131" s="9">
        <f t="shared" si="7"/>
        <v>10</v>
      </c>
      <c r="H131" s="7" t="str">
        <f t="shared" si="8"/>
        <v>Nov</v>
      </c>
      <c r="I131" s="7">
        <f t="shared" si="9"/>
        <v>11</v>
      </c>
    </row>
    <row r="132">
      <c r="A132" s="6">
        <f t="shared" si="1"/>
        <v>45908</v>
      </c>
      <c r="B132" s="7" t="str">
        <f t="shared" si="2"/>
        <v>Table</v>
      </c>
      <c r="C132" s="7" t="str">
        <f t="shared" si="3"/>
        <v>Furniture</v>
      </c>
      <c r="D132" s="7" t="str">
        <f t="shared" si="4"/>
        <v>West</v>
      </c>
      <c r="E132" s="8">
        <f t="shared" si="5"/>
        <v>1342</v>
      </c>
      <c r="F132" s="8">
        <f t="shared" si="6"/>
        <v>375.76</v>
      </c>
      <c r="G132" s="9">
        <f t="shared" si="7"/>
        <v>10</v>
      </c>
      <c r="H132" s="7" t="str">
        <f t="shared" si="8"/>
        <v>Sep</v>
      </c>
      <c r="I132" s="7">
        <f t="shared" si="9"/>
        <v>9</v>
      </c>
    </row>
    <row r="133">
      <c r="A133" s="6">
        <f t="shared" si="1"/>
        <v>45776</v>
      </c>
      <c r="B133" s="7" t="str">
        <f t="shared" si="2"/>
        <v>Tablet</v>
      </c>
      <c r="C133" s="7" t="str">
        <f t="shared" si="3"/>
        <v>Electronics</v>
      </c>
      <c r="D133" s="7" t="str">
        <f t="shared" si="4"/>
        <v>East</v>
      </c>
      <c r="E133" s="8">
        <f t="shared" si="5"/>
        <v>580</v>
      </c>
      <c r="F133" s="8">
        <f t="shared" si="6"/>
        <v>81.2</v>
      </c>
      <c r="G133" s="9">
        <f t="shared" si="7"/>
        <v>8</v>
      </c>
      <c r="H133" s="7" t="str">
        <f t="shared" si="8"/>
        <v>Apr</v>
      </c>
      <c r="I133" s="7">
        <f t="shared" si="9"/>
        <v>4</v>
      </c>
    </row>
    <row r="134">
      <c r="A134" s="6">
        <f t="shared" si="1"/>
        <v>45879</v>
      </c>
      <c r="B134" s="7" t="str">
        <f t="shared" si="2"/>
        <v>Table</v>
      </c>
      <c r="C134" s="7" t="str">
        <f t="shared" si="3"/>
        <v>Furniture</v>
      </c>
      <c r="D134" s="7" t="str">
        <f t="shared" si="4"/>
        <v>North</v>
      </c>
      <c r="E134" s="8">
        <f t="shared" si="5"/>
        <v>1137</v>
      </c>
      <c r="F134" s="8">
        <f t="shared" si="6"/>
        <v>238.77</v>
      </c>
      <c r="G134" s="9">
        <f t="shared" si="7"/>
        <v>7</v>
      </c>
      <c r="H134" s="7" t="str">
        <f t="shared" si="8"/>
        <v>Aug</v>
      </c>
      <c r="I134" s="7">
        <f t="shared" si="9"/>
        <v>8</v>
      </c>
    </row>
    <row r="135">
      <c r="A135" s="6">
        <f t="shared" si="1"/>
        <v>45687</v>
      </c>
      <c r="B135" s="7" t="str">
        <f t="shared" si="2"/>
        <v>Tablet</v>
      </c>
      <c r="C135" s="7" t="str">
        <f t="shared" si="3"/>
        <v>Electronics</v>
      </c>
      <c r="D135" s="7" t="str">
        <f t="shared" si="4"/>
        <v>East</v>
      </c>
      <c r="E135" s="8">
        <f t="shared" si="5"/>
        <v>1537</v>
      </c>
      <c r="F135" s="8">
        <f t="shared" si="6"/>
        <v>153.7</v>
      </c>
      <c r="G135" s="9">
        <f t="shared" si="7"/>
        <v>7</v>
      </c>
      <c r="H135" s="7" t="str">
        <f t="shared" si="8"/>
        <v>Jan</v>
      </c>
      <c r="I135" s="7">
        <f t="shared" si="9"/>
        <v>1</v>
      </c>
    </row>
    <row r="136">
      <c r="A136" s="6">
        <f t="shared" si="1"/>
        <v>45842</v>
      </c>
      <c r="B136" s="7" t="str">
        <f t="shared" si="2"/>
        <v>Laptop</v>
      </c>
      <c r="C136" s="7" t="str">
        <f t="shared" si="3"/>
        <v>Electronics</v>
      </c>
      <c r="D136" s="7" t="str">
        <f t="shared" si="4"/>
        <v>East</v>
      </c>
      <c r="E136" s="8">
        <f t="shared" si="5"/>
        <v>1783</v>
      </c>
      <c r="F136" s="8">
        <f t="shared" si="6"/>
        <v>427.92</v>
      </c>
      <c r="G136" s="9">
        <f t="shared" si="7"/>
        <v>9</v>
      </c>
      <c r="H136" s="7" t="str">
        <f t="shared" si="8"/>
        <v>Jul</v>
      </c>
      <c r="I136" s="7">
        <f t="shared" si="9"/>
        <v>7</v>
      </c>
    </row>
    <row r="137">
      <c r="A137" s="6">
        <f t="shared" si="1"/>
        <v>45940</v>
      </c>
      <c r="B137" s="7" t="str">
        <f t="shared" si="2"/>
        <v>Laptop</v>
      </c>
      <c r="C137" s="7" t="str">
        <f t="shared" si="3"/>
        <v>Electronics</v>
      </c>
      <c r="D137" s="7" t="str">
        <f t="shared" si="4"/>
        <v>West</v>
      </c>
      <c r="E137" s="8">
        <f t="shared" si="5"/>
        <v>1510</v>
      </c>
      <c r="F137" s="8">
        <f t="shared" si="6"/>
        <v>347.3</v>
      </c>
      <c r="G137" s="9">
        <f t="shared" si="7"/>
        <v>4</v>
      </c>
      <c r="H137" s="7" t="str">
        <f t="shared" si="8"/>
        <v>Oct</v>
      </c>
      <c r="I137" s="7">
        <f t="shared" si="9"/>
        <v>10</v>
      </c>
    </row>
    <row r="138">
      <c r="A138" s="6">
        <f t="shared" si="1"/>
        <v>46018</v>
      </c>
      <c r="B138" s="7" t="str">
        <f t="shared" si="2"/>
        <v>Monitor</v>
      </c>
      <c r="C138" s="7" t="str">
        <f t="shared" si="3"/>
        <v>Electronics</v>
      </c>
      <c r="D138" s="7" t="str">
        <f t="shared" si="4"/>
        <v>West</v>
      </c>
      <c r="E138" s="8">
        <f t="shared" si="5"/>
        <v>1429</v>
      </c>
      <c r="F138" s="8">
        <f t="shared" si="6"/>
        <v>385.83</v>
      </c>
      <c r="G138" s="9">
        <f t="shared" si="7"/>
        <v>10</v>
      </c>
      <c r="H138" s="7" t="str">
        <f t="shared" si="8"/>
        <v>Dec</v>
      </c>
      <c r="I138" s="7">
        <f t="shared" si="9"/>
        <v>12</v>
      </c>
    </row>
    <row r="139">
      <c r="A139" s="6">
        <f t="shared" si="1"/>
        <v>45722</v>
      </c>
      <c r="B139" s="7" t="str">
        <f t="shared" si="2"/>
        <v>Table</v>
      </c>
      <c r="C139" s="7" t="str">
        <f t="shared" si="3"/>
        <v>Furniture</v>
      </c>
      <c r="D139" s="7" t="str">
        <f t="shared" si="4"/>
        <v>West</v>
      </c>
      <c r="E139" s="8">
        <f t="shared" si="5"/>
        <v>237</v>
      </c>
      <c r="F139" s="8">
        <f t="shared" si="6"/>
        <v>35.55</v>
      </c>
      <c r="G139" s="9">
        <f t="shared" si="7"/>
        <v>3</v>
      </c>
      <c r="H139" s="7" t="str">
        <f t="shared" si="8"/>
        <v>Mar</v>
      </c>
      <c r="I139" s="7">
        <f t="shared" si="9"/>
        <v>3</v>
      </c>
    </row>
    <row r="140">
      <c r="A140" s="6">
        <f t="shared" si="1"/>
        <v>45827</v>
      </c>
      <c r="B140" s="7" t="str">
        <f t="shared" si="2"/>
        <v>Chair</v>
      </c>
      <c r="C140" s="7" t="str">
        <f t="shared" si="3"/>
        <v>Furniture</v>
      </c>
      <c r="D140" s="7" t="str">
        <f t="shared" si="4"/>
        <v>West</v>
      </c>
      <c r="E140" s="8">
        <f t="shared" si="5"/>
        <v>1354</v>
      </c>
      <c r="F140" s="8">
        <f t="shared" si="6"/>
        <v>257.26</v>
      </c>
      <c r="G140" s="9">
        <f t="shared" si="7"/>
        <v>10</v>
      </c>
      <c r="H140" s="7" t="str">
        <f t="shared" si="8"/>
        <v>Jun</v>
      </c>
      <c r="I140" s="7">
        <f t="shared" si="9"/>
        <v>6</v>
      </c>
    </row>
    <row r="141">
      <c r="A141" s="6">
        <f t="shared" si="1"/>
        <v>45862</v>
      </c>
      <c r="B141" s="7" t="str">
        <f t="shared" si="2"/>
        <v>Monitor</v>
      </c>
      <c r="C141" s="7" t="str">
        <f t="shared" si="3"/>
        <v>Electronics</v>
      </c>
      <c r="D141" s="7" t="str">
        <f t="shared" si="4"/>
        <v>South</v>
      </c>
      <c r="E141" s="8">
        <f t="shared" si="5"/>
        <v>1773</v>
      </c>
      <c r="F141" s="8">
        <f t="shared" si="6"/>
        <v>514.17</v>
      </c>
      <c r="G141" s="9">
        <f t="shared" si="7"/>
        <v>6</v>
      </c>
      <c r="H141" s="7" t="str">
        <f t="shared" si="8"/>
        <v>Jul</v>
      </c>
      <c r="I141" s="7">
        <f t="shared" si="9"/>
        <v>7</v>
      </c>
    </row>
    <row r="142">
      <c r="A142" s="6">
        <f t="shared" si="1"/>
        <v>45869</v>
      </c>
      <c r="B142" s="7" t="str">
        <f t="shared" si="2"/>
        <v>Chair</v>
      </c>
      <c r="C142" s="7" t="str">
        <f t="shared" si="3"/>
        <v>Furniture</v>
      </c>
      <c r="D142" s="7" t="str">
        <f t="shared" si="4"/>
        <v>East</v>
      </c>
      <c r="E142" s="8">
        <f t="shared" si="5"/>
        <v>918</v>
      </c>
      <c r="F142" s="8">
        <f t="shared" si="6"/>
        <v>156.06</v>
      </c>
      <c r="G142" s="9">
        <f t="shared" si="7"/>
        <v>3</v>
      </c>
      <c r="H142" s="7" t="str">
        <f t="shared" si="8"/>
        <v>Jul</v>
      </c>
      <c r="I142" s="7">
        <f t="shared" si="9"/>
        <v>7</v>
      </c>
    </row>
    <row r="143">
      <c r="A143" s="6">
        <f t="shared" si="1"/>
        <v>45917</v>
      </c>
      <c r="B143" s="7" t="str">
        <f t="shared" si="2"/>
        <v>Monitor</v>
      </c>
      <c r="C143" s="7" t="str">
        <f t="shared" si="3"/>
        <v>Electronics</v>
      </c>
      <c r="D143" s="7" t="str">
        <f t="shared" si="4"/>
        <v>North</v>
      </c>
      <c r="E143" s="8">
        <f t="shared" si="5"/>
        <v>591</v>
      </c>
      <c r="F143" s="8">
        <f t="shared" si="6"/>
        <v>112.29</v>
      </c>
      <c r="G143" s="9">
        <f t="shared" si="7"/>
        <v>10</v>
      </c>
      <c r="H143" s="7" t="str">
        <f t="shared" si="8"/>
        <v>Sep</v>
      </c>
      <c r="I143" s="7">
        <f t="shared" si="9"/>
        <v>9</v>
      </c>
    </row>
    <row r="144">
      <c r="A144" s="6">
        <f t="shared" si="1"/>
        <v>45816</v>
      </c>
      <c r="B144" s="7" t="str">
        <f t="shared" si="2"/>
        <v>Chair</v>
      </c>
      <c r="C144" s="7" t="str">
        <f t="shared" si="3"/>
        <v>Furniture</v>
      </c>
      <c r="D144" s="7" t="str">
        <f t="shared" si="4"/>
        <v>North</v>
      </c>
      <c r="E144" s="8">
        <f t="shared" si="5"/>
        <v>1868</v>
      </c>
      <c r="F144" s="8">
        <f t="shared" si="6"/>
        <v>467</v>
      </c>
      <c r="G144" s="9">
        <f t="shared" si="7"/>
        <v>6</v>
      </c>
      <c r="H144" s="7" t="str">
        <f t="shared" si="8"/>
        <v>Jun</v>
      </c>
      <c r="I144" s="7">
        <f t="shared" si="9"/>
        <v>6</v>
      </c>
    </row>
    <row r="145">
      <c r="A145" s="6">
        <f t="shared" si="1"/>
        <v>45702</v>
      </c>
      <c r="B145" s="7" t="str">
        <f t="shared" si="2"/>
        <v>Laptop</v>
      </c>
      <c r="C145" s="7" t="str">
        <f t="shared" si="3"/>
        <v>Electronics</v>
      </c>
      <c r="D145" s="7" t="str">
        <f t="shared" si="4"/>
        <v>South</v>
      </c>
      <c r="E145" s="8">
        <f t="shared" si="5"/>
        <v>1280</v>
      </c>
      <c r="F145" s="8">
        <f t="shared" si="6"/>
        <v>128</v>
      </c>
      <c r="G145" s="9">
        <f t="shared" si="7"/>
        <v>7</v>
      </c>
      <c r="H145" s="7" t="str">
        <f t="shared" si="8"/>
        <v>Feb</v>
      </c>
      <c r="I145" s="7">
        <f t="shared" si="9"/>
        <v>2</v>
      </c>
    </row>
    <row r="146">
      <c r="A146" s="6">
        <f t="shared" si="1"/>
        <v>45753</v>
      </c>
      <c r="B146" s="7" t="str">
        <f t="shared" si="2"/>
        <v>Phone</v>
      </c>
      <c r="C146" s="7" t="str">
        <f t="shared" si="3"/>
        <v>Electronics</v>
      </c>
      <c r="D146" s="7" t="str">
        <f t="shared" si="4"/>
        <v>South</v>
      </c>
      <c r="E146" s="8">
        <f t="shared" si="5"/>
        <v>578</v>
      </c>
      <c r="F146" s="8">
        <f t="shared" si="6"/>
        <v>173.4</v>
      </c>
      <c r="G146" s="9">
        <f t="shared" si="7"/>
        <v>6</v>
      </c>
      <c r="H146" s="7" t="str">
        <f t="shared" si="8"/>
        <v>Apr</v>
      </c>
      <c r="I146" s="7">
        <f t="shared" si="9"/>
        <v>4</v>
      </c>
    </row>
    <row r="147">
      <c r="A147" s="6">
        <f t="shared" si="1"/>
        <v>45901</v>
      </c>
      <c r="B147" s="7" t="str">
        <f t="shared" si="2"/>
        <v>Table</v>
      </c>
      <c r="C147" s="7" t="str">
        <f t="shared" si="3"/>
        <v>Furniture</v>
      </c>
      <c r="D147" s="7" t="str">
        <f t="shared" si="4"/>
        <v>South</v>
      </c>
      <c r="E147" s="8">
        <f t="shared" si="5"/>
        <v>946</v>
      </c>
      <c r="F147" s="8">
        <f t="shared" si="6"/>
        <v>189.2</v>
      </c>
      <c r="G147" s="9">
        <f t="shared" si="7"/>
        <v>8</v>
      </c>
      <c r="H147" s="7" t="str">
        <f t="shared" si="8"/>
        <v>Sep</v>
      </c>
      <c r="I147" s="7">
        <f t="shared" si="9"/>
        <v>9</v>
      </c>
    </row>
    <row r="148">
      <c r="A148" s="6">
        <f t="shared" si="1"/>
        <v>45730</v>
      </c>
      <c r="B148" s="7" t="str">
        <f t="shared" si="2"/>
        <v>Monitor</v>
      </c>
      <c r="C148" s="7" t="str">
        <f t="shared" si="3"/>
        <v>Electronics</v>
      </c>
      <c r="D148" s="7" t="str">
        <f t="shared" si="4"/>
        <v>West</v>
      </c>
      <c r="E148" s="8">
        <f t="shared" si="5"/>
        <v>1187</v>
      </c>
      <c r="F148" s="8">
        <f t="shared" si="6"/>
        <v>249.27</v>
      </c>
      <c r="G148" s="9">
        <f t="shared" si="7"/>
        <v>10</v>
      </c>
      <c r="H148" s="7" t="str">
        <f t="shared" si="8"/>
        <v>Mar</v>
      </c>
      <c r="I148" s="7">
        <f t="shared" si="9"/>
        <v>3</v>
      </c>
    </row>
    <row r="149">
      <c r="A149" s="6">
        <f t="shared" si="1"/>
        <v>45771</v>
      </c>
      <c r="B149" s="7" t="str">
        <f t="shared" si="2"/>
        <v>Chair</v>
      </c>
      <c r="C149" s="7" t="str">
        <f t="shared" si="3"/>
        <v>Furniture</v>
      </c>
      <c r="D149" s="7" t="str">
        <f t="shared" si="4"/>
        <v>North</v>
      </c>
      <c r="E149" s="8">
        <f t="shared" si="5"/>
        <v>1461</v>
      </c>
      <c r="F149" s="8">
        <f t="shared" si="6"/>
        <v>219.15</v>
      </c>
      <c r="G149" s="9">
        <f t="shared" si="7"/>
        <v>6</v>
      </c>
      <c r="H149" s="7" t="str">
        <f t="shared" si="8"/>
        <v>Apr</v>
      </c>
      <c r="I149" s="7">
        <f t="shared" si="9"/>
        <v>4</v>
      </c>
    </row>
    <row r="150">
      <c r="A150" s="6">
        <f t="shared" si="1"/>
        <v>45818</v>
      </c>
      <c r="B150" s="7" t="str">
        <f t="shared" si="2"/>
        <v>Laptop</v>
      </c>
      <c r="C150" s="7" t="str">
        <f t="shared" si="3"/>
        <v>Electronics</v>
      </c>
      <c r="D150" s="7" t="str">
        <f t="shared" si="4"/>
        <v>South</v>
      </c>
      <c r="E150" s="8">
        <f t="shared" si="5"/>
        <v>466</v>
      </c>
      <c r="F150" s="8">
        <f t="shared" si="6"/>
        <v>102.52</v>
      </c>
      <c r="G150" s="9">
        <f t="shared" si="7"/>
        <v>6</v>
      </c>
      <c r="H150" s="7" t="str">
        <f t="shared" si="8"/>
        <v>Jun</v>
      </c>
      <c r="I150" s="7">
        <f t="shared" si="9"/>
        <v>6</v>
      </c>
    </row>
    <row r="151">
      <c r="A151" s="6">
        <f t="shared" si="1"/>
        <v>45809</v>
      </c>
      <c r="B151" s="7" t="str">
        <f t="shared" si="2"/>
        <v>Laptop</v>
      </c>
      <c r="C151" s="7" t="str">
        <f t="shared" si="3"/>
        <v>Electronics</v>
      </c>
      <c r="D151" s="7" t="str">
        <f t="shared" si="4"/>
        <v>East</v>
      </c>
      <c r="E151" s="8">
        <f t="shared" si="5"/>
        <v>1230</v>
      </c>
      <c r="F151" s="8">
        <f t="shared" si="6"/>
        <v>319.8</v>
      </c>
      <c r="G151" s="9">
        <f t="shared" si="7"/>
        <v>6</v>
      </c>
      <c r="H151" s="7" t="str">
        <f t="shared" si="8"/>
        <v>Jun</v>
      </c>
      <c r="I151" s="7">
        <f t="shared" si="9"/>
        <v>6</v>
      </c>
    </row>
    <row r="152">
      <c r="A152" s="6">
        <f t="shared" si="1"/>
        <v>45746</v>
      </c>
      <c r="B152" s="7" t="str">
        <f t="shared" si="2"/>
        <v>Tablet</v>
      </c>
      <c r="C152" s="7" t="str">
        <f t="shared" si="3"/>
        <v>Electronics</v>
      </c>
      <c r="D152" s="7" t="str">
        <f t="shared" si="4"/>
        <v>West</v>
      </c>
      <c r="E152" s="8">
        <f t="shared" si="5"/>
        <v>780</v>
      </c>
      <c r="F152" s="8">
        <f t="shared" si="6"/>
        <v>210.6</v>
      </c>
      <c r="G152" s="9">
        <f t="shared" si="7"/>
        <v>8</v>
      </c>
      <c r="H152" s="7" t="str">
        <f t="shared" si="8"/>
        <v>Mar</v>
      </c>
      <c r="I152" s="7">
        <f t="shared" si="9"/>
        <v>3</v>
      </c>
    </row>
    <row r="153">
      <c r="A153" s="6">
        <f t="shared" si="1"/>
        <v>45990</v>
      </c>
      <c r="B153" s="7" t="str">
        <f t="shared" si="2"/>
        <v>Chair</v>
      </c>
      <c r="C153" s="7" t="str">
        <f t="shared" si="3"/>
        <v>Furniture</v>
      </c>
      <c r="D153" s="7" t="str">
        <f t="shared" si="4"/>
        <v>North</v>
      </c>
      <c r="E153" s="8">
        <f t="shared" si="5"/>
        <v>567</v>
      </c>
      <c r="F153" s="8">
        <f t="shared" si="6"/>
        <v>96.39</v>
      </c>
      <c r="G153" s="9">
        <f t="shared" si="7"/>
        <v>2</v>
      </c>
      <c r="H153" s="7" t="str">
        <f t="shared" si="8"/>
        <v>Nov</v>
      </c>
      <c r="I153" s="7">
        <f t="shared" si="9"/>
        <v>11</v>
      </c>
    </row>
    <row r="154">
      <c r="A154" s="6">
        <f t="shared" si="1"/>
        <v>45929</v>
      </c>
      <c r="B154" s="7" t="str">
        <f t="shared" si="2"/>
        <v>Laptop</v>
      </c>
      <c r="C154" s="7" t="str">
        <f t="shared" si="3"/>
        <v>Electronics</v>
      </c>
      <c r="D154" s="7" t="str">
        <f t="shared" si="4"/>
        <v>East</v>
      </c>
      <c r="E154" s="8">
        <f t="shared" si="5"/>
        <v>1824</v>
      </c>
      <c r="F154" s="8">
        <f t="shared" si="6"/>
        <v>328.32</v>
      </c>
      <c r="G154" s="9">
        <f t="shared" si="7"/>
        <v>6</v>
      </c>
      <c r="H154" s="7" t="str">
        <f t="shared" si="8"/>
        <v>Sep</v>
      </c>
      <c r="I154" s="7">
        <f t="shared" si="9"/>
        <v>9</v>
      </c>
    </row>
    <row r="155">
      <c r="A155" s="6">
        <f t="shared" si="1"/>
        <v>45911</v>
      </c>
      <c r="B155" s="7" t="str">
        <f t="shared" si="2"/>
        <v>Chair</v>
      </c>
      <c r="C155" s="7" t="str">
        <f t="shared" si="3"/>
        <v>Furniture</v>
      </c>
      <c r="D155" s="7" t="str">
        <f t="shared" si="4"/>
        <v>South</v>
      </c>
      <c r="E155" s="8">
        <f t="shared" si="5"/>
        <v>823</v>
      </c>
      <c r="F155" s="8">
        <f t="shared" si="6"/>
        <v>90.53</v>
      </c>
      <c r="G155" s="9">
        <f t="shared" si="7"/>
        <v>10</v>
      </c>
      <c r="H155" s="7" t="str">
        <f t="shared" si="8"/>
        <v>Sep</v>
      </c>
      <c r="I155" s="7">
        <f t="shared" si="9"/>
        <v>9</v>
      </c>
    </row>
    <row r="156">
      <c r="A156" s="6">
        <f t="shared" si="1"/>
        <v>45683</v>
      </c>
      <c r="B156" s="7" t="str">
        <f t="shared" si="2"/>
        <v>Phone</v>
      </c>
      <c r="C156" s="7" t="str">
        <f t="shared" si="3"/>
        <v>Electronics</v>
      </c>
      <c r="D156" s="7" t="str">
        <f t="shared" si="4"/>
        <v>South</v>
      </c>
      <c r="E156" s="8">
        <f t="shared" si="5"/>
        <v>1552</v>
      </c>
      <c r="F156" s="8">
        <f t="shared" si="6"/>
        <v>232.8</v>
      </c>
      <c r="G156" s="9">
        <f t="shared" si="7"/>
        <v>1</v>
      </c>
      <c r="H156" s="7" t="str">
        <f t="shared" si="8"/>
        <v>Jan</v>
      </c>
      <c r="I156" s="7">
        <f t="shared" si="9"/>
        <v>1</v>
      </c>
    </row>
    <row r="157">
      <c r="A157" s="6">
        <f t="shared" si="1"/>
        <v>45898</v>
      </c>
      <c r="B157" s="7" t="str">
        <f t="shared" si="2"/>
        <v>Monitor</v>
      </c>
      <c r="C157" s="7" t="str">
        <f t="shared" si="3"/>
        <v>Electronics</v>
      </c>
      <c r="D157" s="7" t="str">
        <f t="shared" si="4"/>
        <v>West</v>
      </c>
      <c r="E157" s="8">
        <f t="shared" si="5"/>
        <v>418</v>
      </c>
      <c r="F157" s="8">
        <f t="shared" si="6"/>
        <v>117.04</v>
      </c>
      <c r="G157" s="9">
        <f t="shared" si="7"/>
        <v>6</v>
      </c>
      <c r="H157" s="7" t="str">
        <f t="shared" si="8"/>
        <v>Aug</v>
      </c>
      <c r="I157" s="7">
        <f t="shared" si="9"/>
        <v>8</v>
      </c>
    </row>
    <row r="158">
      <c r="A158" s="6">
        <f t="shared" si="1"/>
        <v>45670</v>
      </c>
      <c r="B158" s="7" t="str">
        <f t="shared" si="2"/>
        <v>Laptop</v>
      </c>
      <c r="C158" s="7" t="str">
        <f t="shared" si="3"/>
        <v>Electronics</v>
      </c>
      <c r="D158" s="7" t="str">
        <f t="shared" si="4"/>
        <v>West</v>
      </c>
      <c r="E158" s="8">
        <f t="shared" si="5"/>
        <v>1654</v>
      </c>
      <c r="F158" s="8">
        <f t="shared" si="6"/>
        <v>430.04</v>
      </c>
      <c r="G158" s="9">
        <f t="shared" si="7"/>
        <v>3</v>
      </c>
      <c r="H158" s="7" t="str">
        <f t="shared" si="8"/>
        <v>Jan</v>
      </c>
      <c r="I158" s="7">
        <f t="shared" si="9"/>
        <v>1</v>
      </c>
    </row>
    <row r="159">
      <c r="A159" s="6">
        <f t="shared" si="1"/>
        <v>45713</v>
      </c>
      <c r="B159" s="7" t="str">
        <f t="shared" si="2"/>
        <v>Chair</v>
      </c>
      <c r="C159" s="7" t="str">
        <f t="shared" si="3"/>
        <v>Furniture</v>
      </c>
      <c r="D159" s="7" t="str">
        <f t="shared" si="4"/>
        <v>South</v>
      </c>
      <c r="E159" s="8">
        <f t="shared" si="5"/>
        <v>933</v>
      </c>
      <c r="F159" s="8">
        <f t="shared" si="6"/>
        <v>130.62</v>
      </c>
      <c r="G159" s="9">
        <f t="shared" si="7"/>
        <v>9</v>
      </c>
      <c r="H159" s="7" t="str">
        <f t="shared" si="8"/>
        <v>Feb</v>
      </c>
      <c r="I159" s="7">
        <f t="shared" si="9"/>
        <v>2</v>
      </c>
    </row>
    <row r="160">
      <c r="A160" s="6">
        <f t="shared" si="1"/>
        <v>45968</v>
      </c>
      <c r="B160" s="7" t="str">
        <f t="shared" si="2"/>
        <v>Table</v>
      </c>
      <c r="C160" s="7" t="str">
        <f t="shared" si="3"/>
        <v>Furniture</v>
      </c>
      <c r="D160" s="7" t="str">
        <f t="shared" si="4"/>
        <v>West</v>
      </c>
      <c r="E160" s="8">
        <f t="shared" si="5"/>
        <v>955</v>
      </c>
      <c r="F160" s="8">
        <f t="shared" si="6"/>
        <v>95.5</v>
      </c>
      <c r="G160" s="9">
        <f t="shared" si="7"/>
        <v>1</v>
      </c>
      <c r="H160" s="7" t="str">
        <f t="shared" si="8"/>
        <v>Nov</v>
      </c>
      <c r="I160" s="7">
        <f t="shared" si="9"/>
        <v>11</v>
      </c>
    </row>
    <row r="161">
      <c r="A161" s="6">
        <f t="shared" si="1"/>
        <v>45913</v>
      </c>
      <c r="B161" s="7" t="str">
        <f t="shared" si="2"/>
        <v>Chair</v>
      </c>
      <c r="C161" s="7" t="str">
        <f t="shared" si="3"/>
        <v>Furniture</v>
      </c>
      <c r="D161" s="7" t="str">
        <f t="shared" si="4"/>
        <v>South</v>
      </c>
      <c r="E161" s="8">
        <f t="shared" si="5"/>
        <v>1181</v>
      </c>
      <c r="F161" s="8">
        <f t="shared" si="6"/>
        <v>307.06</v>
      </c>
      <c r="G161" s="9">
        <f t="shared" si="7"/>
        <v>7</v>
      </c>
      <c r="H161" s="7" t="str">
        <f t="shared" si="8"/>
        <v>Sep</v>
      </c>
      <c r="I161" s="7">
        <f t="shared" si="9"/>
        <v>9</v>
      </c>
    </row>
    <row r="162">
      <c r="A162" s="6">
        <f t="shared" si="1"/>
        <v>45986</v>
      </c>
      <c r="B162" s="7" t="str">
        <f t="shared" si="2"/>
        <v>Chair</v>
      </c>
      <c r="C162" s="7" t="str">
        <f t="shared" si="3"/>
        <v>Furniture</v>
      </c>
      <c r="D162" s="7" t="str">
        <f t="shared" si="4"/>
        <v>West</v>
      </c>
      <c r="E162" s="8">
        <f t="shared" si="5"/>
        <v>1880</v>
      </c>
      <c r="F162" s="8">
        <f t="shared" si="6"/>
        <v>338.4</v>
      </c>
      <c r="G162" s="9">
        <f t="shared" si="7"/>
        <v>5</v>
      </c>
      <c r="H162" s="7" t="str">
        <f t="shared" si="8"/>
        <v>Nov</v>
      </c>
      <c r="I162" s="7">
        <f t="shared" si="9"/>
        <v>11</v>
      </c>
    </row>
    <row r="163">
      <c r="A163" s="6">
        <f t="shared" si="1"/>
        <v>46020</v>
      </c>
      <c r="B163" s="7" t="str">
        <f t="shared" si="2"/>
        <v>Phone</v>
      </c>
      <c r="C163" s="7" t="str">
        <f t="shared" si="3"/>
        <v>Electronics</v>
      </c>
      <c r="D163" s="7" t="str">
        <f t="shared" si="4"/>
        <v>South</v>
      </c>
      <c r="E163" s="8">
        <f t="shared" si="5"/>
        <v>1165</v>
      </c>
      <c r="F163" s="8">
        <f t="shared" si="6"/>
        <v>279.6</v>
      </c>
      <c r="G163" s="9">
        <f t="shared" si="7"/>
        <v>8</v>
      </c>
      <c r="H163" s="7" t="str">
        <f t="shared" si="8"/>
        <v>Dec</v>
      </c>
      <c r="I163" s="7">
        <f t="shared" si="9"/>
        <v>12</v>
      </c>
    </row>
    <row r="164">
      <c r="A164" s="6">
        <f t="shared" si="1"/>
        <v>45987</v>
      </c>
      <c r="B164" s="7" t="str">
        <f t="shared" si="2"/>
        <v>Tablet</v>
      </c>
      <c r="C164" s="7" t="str">
        <f t="shared" si="3"/>
        <v>Electronics</v>
      </c>
      <c r="D164" s="7" t="str">
        <f t="shared" si="4"/>
        <v>North</v>
      </c>
      <c r="E164" s="8">
        <f t="shared" si="5"/>
        <v>906</v>
      </c>
      <c r="F164" s="8">
        <f t="shared" si="6"/>
        <v>117.78</v>
      </c>
      <c r="G164" s="9">
        <f t="shared" si="7"/>
        <v>5</v>
      </c>
      <c r="H164" s="7" t="str">
        <f t="shared" si="8"/>
        <v>Nov</v>
      </c>
      <c r="I164" s="7">
        <f t="shared" si="9"/>
        <v>11</v>
      </c>
    </row>
    <row r="165">
      <c r="A165" s="6">
        <f t="shared" si="1"/>
        <v>45660</v>
      </c>
      <c r="B165" s="7" t="str">
        <f t="shared" si="2"/>
        <v>Laptop</v>
      </c>
      <c r="C165" s="7" t="str">
        <f t="shared" si="3"/>
        <v>Electronics</v>
      </c>
      <c r="D165" s="7" t="str">
        <f t="shared" si="4"/>
        <v>South</v>
      </c>
      <c r="E165" s="8">
        <f t="shared" si="5"/>
        <v>1845</v>
      </c>
      <c r="F165" s="8">
        <f t="shared" si="6"/>
        <v>498.15</v>
      </c>
      <c r="G165" s="9">
        <f t="shared" si="7"/>
        <v>5</v>
      </c>
      <c r="H165" s="7" t="str">
        <f t="shared" si="8"/>
        <v>Jan</v>
      </c>
      <c r="I165" s="7">
        <f t="shared" si="9"/>
        <v>1</v>
      </c>
    </row>
    <row r="166">
      <c r="A166" s="6">
        <f t="shared" si="1"/>
        <v>45898</v>
      </c>
      <c r="B166" s="7" t="str">
        <f t="shared" si="2"/>
        <v>Laptop</v>
      </c>
      <c r="C166" s="7" t="str">
        <f t="shared" si="3"/>
        <v>Electronics</v>
      </c>
      <c r="D166" s="7" t="str">
        <f t="shared" si="4"/>
        <v>West</v>
      </c>
      <c r="E166" s="8">
        <f t="shared" si="5"/>
        <v>1377</v>
      </c>
      <c r="F166" s="8">
        <f t="shared" si="6"/>
        <v>275.4</v>
      </c>
      <c r="G166" s="9">
        <f t="shared" si="7"/>
        <v>4</v>
      </c>
      <c r="H166" s="7" t="str">
        <f t="shared" si="8"/>
        <v>Aug</v>
      </c>
      <c r="I166" s="7">
        <f t="shared" si="9"/>
        <v>8</v>
      </c>
    </row>
    <row r="167">
      <c r="A167" s="6">
        <f t="shared" si="1"/>
        <v>45865</v>
      </c>
      <c r="B167" s="7" t="str">
        <f t="shared" si="2"/>
        <v>Tablet</v>
      </c>
      <c r="C167" s="7" t="str">
        <f t="shared" si="3"/>
        <v>Electronics</v>
      </c>
      <c r="D167" s="7" t="str">
        <f t="shared" si="4"/>
        <v>South</v>
      </c>
      <c r="E167" s="8">
        <f t="shared" si="5"/>
        <v>574</v>
      </c>
      <c r="F167" s="8">
        <f t="shared" si="6"/>
        <v>80.36</v>
      </c>
      <c r="G167" s="9">
        <f t="shared" si="7"/>
        <v>3</v>
      </c>
      <c r="H167" s="7" t="str">
        <f t="shared" si="8"/>
        <v>Jul</v>
      </c>
      <c r="I167" s="7">
        <f t="shared" si="9"/>
        <v>7</v>
      </c>
    </row>
    <row r="168">
      <c r="A168" s="6">
        <f t="shared" si="1"/>
        <v>45942</v>
      </c>
      <c r="B168" s="7" t="str">
        <f t="shared" si="2"/>
        <v>Tablet</v>
      </c>
      <c r="C168" s="7" t="str">
        <f t="shared" si="3"/>
        <v>Electronics</v>
      </c>
      <c r="D168" s="7" t="str">
        <f t="shared" si="4"/>
        <v>West</v>
      </c>
      <c r="E168" s="8">
        <f t="shared" si="5"/>
        <v>703</v>
      </c>
      <c r="F168" s="8">
        <f t="shared" si="6"/>
        <v>175.75</v>
      </c>
      <c r="G168" s="9">
        <f t="shared" si="7"/>
        <v>8</v>
      </c>
      <c r="H168" s="7" t="str">
        <f t="shared" si="8"/>
        <v>Oct</v>
      </c>
      <c r="I168" s="7">
        <f t="shared" si="9"/>
        <v>10</v>
      </c>
    </row>
    <row r="169">
      <c r="A169" s="6">
        <f t="shared" si="1"/>
        <v>45799</v>
      </c>
      <c r="B169" s="7" t="str">
        <f t="shared" si="2"/>
        <v>Monitor</v>
      </c>
      <c r="C169" s="7" t="str">
        <f t="shared" si="3"/>
        <v>Electronics</v>
      </c>
      <c r="D169" s="7" t="str">
        <f t="shared" si="4"/>
        <v>East</v>
      </c>
      <c r="E169" s="8">
        <f t="shared" si="5"/>
        <v>1250</v>
      </c>
      <c r="F169" s="8">
        <f t="shared" si="6"/>
        <v>300</v>
      </c>
      <c r="G169" s="9">
        <f t="shared" si="7"/>
        <v>10</v>
      </c>
      <c r="H169" s="7" t="str">
        <f t="shared" si="8"/>
        <v>May</v>
      </c>
      <c r="I169" s="7">
        <f t="shared" si="9"/>
        <v>5</v>
      </c>
    </row>
    <row r="170">
      <c r="A170" s="6">
        <f t="shared" si="1"/>
        <v>45860</v>
      </c>
      <c r="B170" s="7" t="str">
        <f t="shared" si="2"/>
        <v>Tablet</v>
      </c>
      <c r="C170" s="7" t="str">
        <f t="shared" si="3"/>
        <v>Electronics</v>
      </c>
      <c r="D170" s="7" t="str">
        <f t="shared" si="4"/>
        <v>East</v>
      </c>
      <c r="E170" s="8">
        <f t="shared" si="5"/>
        <v>1942</v>
      </c>
      <c r="F170" s="8">
        <f t="shared" si="6"/>
        <v>271.88</v>
      </c>
      <c r="G170" s="9">
        <f t="shared" si="7"/>
        <v>9</v>
      </c>
      <c r="H170" s="7" t="str">
        <f t="shared" si="8"/>
        <v>Jul</v>
      </c>
      <c r="I170" s="7">
        <f t="shared" si="9"/>
        <v>7</v>
      </c>
    </row>
    <row r="171">
      <c r="A171" s="6">
        <f t="shared" si="1"/>
        <v>45999</v>
      </c>
      <c r="B171" s="7" t="str">
        <f t="shared" si="2"/>
        <v>Monitor</v>
      </c>
      <c r="C171" s="7" t="str">
        <f t="shared" si="3"/>
        <v>Electronics</v>
      </c>
      <c r="D171" s="7" t="str">
        <f t="shared" si="4"/>
        <v>West</v>
      </c>
      <c r="E171" s="8">
        <f t="shared" si="5"/>
        <v>1782</v>
      </c>
      <c r="F171" s="8">
        <f t="shared" si="6"/>
        <v>285.12</v>
      </c>
      <c r="G171" s="9">
        <f t="shared" si="7"/>
        <v>8</v>
      </c>
      <c r="H171" s="7" t="str">
        <f t="shared" si="8"/>
        <v>Dec</v>
      </c>
      <c r="I171" s="7">
        <f t="shared" si="9"/>
        <v>12</v>
      </c>
    </row>
    <row r="172">
      <c r="A172" s="6">
        <f t="shared" si="1"/>
        <v>46000</v>
      </c>
      <c r="B172" s="7" t="str">
        <f t="shared" si="2"/>
        <v>Tablet</v>
      </c>
      <c r="C172" s="7" t="str">
        <f t="shared" si="3"/>
        <v>Electronics</v>
      </c>
      <c r="D172" s="7" t="str">
        <f t="shared" si="4"/>
        <v>East</v>
      </c>
      <c r="E172" s="8">
        <f t="shared" si="5"/>
        <v>681</v>
      </c>
      <c r="F172" s="8">
        <f t="shared" si="6"/>
        <v>74.91</v>
      </c>
      <c r="G172" s="9">
        <f t="shared" si="7"/>
        <v>4</v>
      </c>
      <c r="H172" s="7" t="str">
        <f t="shared" si="8"/>
        <v>Dec</v>
      </c>
      <c r="I172" s="7">
        <f t="shared" si="9"/>
        <v>12</v>
      </c>
    </row>
    <row r="173">
      <c r="A173" s="6">
        <f t="shared" si="1"/>
        <v>45750</v>
      </c>
      <c r="B173" s="7" t="str">
        <f t="shared" si="2"/>
        <v>Laptop</v>
      </c>
      <c r="C173" s="7" t="str">
        <f t="shared" si="3"/>
        <v>Electronics</v>
      </c>
      <c r="D173" s="7" t="str">
        <f t="shared" si="4"/>
        <v>West</v>
      </c>
      <c r="E173" s="8">
        <f t="shared" si="5"/>
        <v>1494</v>
      </c>
      <c r="F173" s="8">
        <f t="shared" si="6"/>
        <v>343.62</v>
      </c>
      <c r="G173" s="9">
        <f t="shared" si="7"/>
        <v>3</v>
      </c>
      <c r="H173" s="7" t="str">
        <f t="shared" si="8"/>
        <v>Apr</v>
      </c>
      <c r="I173" s="7">
        <f t="shared" si="9"/>
        <v>4</v>
      </c>
    </row>
    <row r="174">
      <c r="A174" s="6">
        <f t="shared" si="1"/>
        <v>45719</v>
      </c>
      <c r="B174" s="7" t="str">
        <f t="shared" si="2"/>
        <v>Table</v>
      </c>
      <c r="C174" s="7" t="str">
        <f t="shared" si="3"/>
        <v>Furniture</v>
      </c>
      <c r="D174" s="7" t="str">
        <f t="shared" si="4"/>
        <v>South</v>
      </c>
      <c r="E174" s="8">
        <f t="shared" si="5"/>
        <v>1036</v>
      </c>
      <c r="F174" s="8">
        <f t="shared" si="6"/>
        <v>155.4</v>
      </c>
      <c r="G174" s="9">
        <f t="shared" si="7"/>
        <v>7</v>
      </c>
      <c r="H174" s="7" t="str">
        <f t="shared" si="8"/>
        <v>Mar</v>
      </c>
      <c r="I174" s="7">
        <f t="shared" si="9"/>
        <v>3</v>
      </c>
    </row>
    <row r="175">
      <c r="A175" s="6">
        <f t="shared" si="1"/>
        <v>45902</v>
      </c>
      <c r="B175" s="7" t="str">
        <f t="shared" si="2"/>
        <v>Phone</v>
      </c>
      <c r="C175" s="7" t="str">
        <f t="shared" si="3"/>
        <v>Electronics</v>
      </c>
      <c r="D175" s="7" t="str">
        <f t="shared" si="4"/>
        <v>South</v>
      </c>
      <c r="E175" s="8">
        <f t="shared" si="5"/>
        <v>1410</v>
      </c>
      <c r="F175" s="8">
        <f t="shared" si="6"/>
        <v>239.7</v>
      </c>
      <c r="G175" s="9">
        <f t="shared" si="7"/>
        <v>10</v>
      </c>
      <c r="H175" s="7" t="str">
        <f t="shared" si="8"/>
        <v>Sep</v>
      </c>
      <c r="I175" s="7">
        <f t="shared" si="9"/>
        <v>9</v>
      </c>
    </row>
    <row r="176">
      <c r="A176" s="6">
        <f t="shared" si="1"/>
        <v>45954</v>
      </c>
      <c r="B176" s="7" t="str">
        <f t="shared" si="2"/>
        <v>Phone</v>
      </c>
      <c r="C176" s="7" t="str">
        <f t="shared" si="3"/>
        <v>Electronics</v>
      </c>
      <c r="D176" s="7" t="str">
        <f t="shared" si="4"/>
        <v>South</v>
      </c>
      <c r="E176" s="8">
        <f t="shared" si="5"/>
        <v>809</v>
      </c>
      <c r="F176" s="8">
        <f t="shared" si="6"/>
        <v>105.17</v>
      </c>
      <c r="G176" s="9">
        <f t="shared" si="7"/>
        <v>9</v>
      </c>
      <c r="H176" s="7" t="str">
        <f t="shared" si="8"/>
        <v>Oct</v>
      </c>
      <c r="I176" s="7">
        <f t="shared" si="9"/>
        <v>10</v>
      </c>
    </row>
    <row r="177">
      <c r="A177" s="6">
        <f t="shared" si="1"/>
        <v>45869</v>
      </c>
      <c r="B177" s="7" t="str">
        <f t="shared" si="2"/>
        <v>Laptop</v>
      </c>
      <c r="C177" s="7" t="str">
        <f t="shared" si="3"/>
        <v>Electronics</v>
      </c>
      <c r="D177" s="7" t="str">
        <f t="shared" si="4"/>
        <v>North</v>
      </c>
      <c r="E177" s="8">
        <f t="shared" si="5"/>
        <v>1856</v>
      </c>
      <c r="F177" s="8">
        <f t="shared" si="6"/>
        <v>501.12</v>
      </c>
      <c r="G177" s="9">
        <f t="shared" si="7"/>
        <v>2</v>
      </c>
      <c r="H177" s="7" t="str">
        <f t="shared" si="8"/>
        <v>Jul</v>
      </c>
      <c r="I177" s="7">
        <f t="shared" si="9"/>
        <v>7</v>
      </c>
    </row>
    <row r="178">
      <c r="A178" s="6">
        <f t="shared" si="1"/>
        <v>45778</v>
      </c>
      <c r="B178" s="7" t="str">
        <f t="shared" si="2"/>
        <v>Monitor</v>
      </c>
      <c r="C178" s="7" t="str">
        <f t="shared" si="3"/>
        <v>Electronics</v>
      </c>
      <c r="D178" s="7" t="str">
        <f t="shared" si="4"/>
        <v>East</v>
      </c>
      <c r="E178" s="8">
        <f t="shared" si="5"/>
        <v>748</v>
      </c>
      <c r="F178" s="8">
        <f t="shared" si="6"/>
        <v>104.72</v>
      </c>
      <c r="G178" s="9">
        <f t="shared" si="7"/>
        <v>9</v>
      </c>
      <c r="H178" s="7" t="str">
        <f t="shared" si="8"/>
        <v>May</v>
      </c>
      <c r="I178" s="7">
        <f t="shared" si="9"/>
        <v>5</v>
      </c>
    </row>
    <row r="179">
      <c r="A179" s="6">
        <f t="shared" si="1"/>
        <v>45856</v>
      </c>
      <c r="B179" s="7" t="str">
        <f t="shared" si="2"/>
        <v>Chair</v>
      </c>
      <c r="C179" s="7" t="str">
        <f t="shared" si="3"/>
        <v>Furniture</v>
      </c>
      <c r="D179" s="7" t="str">
        <f t="shared" si="4"/>
        <v>South</v>
      </c>
      <c r="E179" s="8">
        <f t="shared" si="5"/>
        <v>1501</v>
      </c>
      <c r="F179" s="8">
        <f t="shared" si="6"/>
        <v>150.1</v>
      </c>
      <c r="G179" s="9">
        <f t="shared" si="7"/>
        <v>3</v>
      </c>
      <c r="H179" s="7" t="str">
        <f t="shared" si="8"/>
        <v>Jul</v>
      </c>
      <c r="I179" s="7">
        <f t="shared" si="9"/>
        <v>7</v>
      </c>
    </row>
    <row r="180">
      <c r="A180" s="6">
        <f t="shared" si="1"/>
        <v>46003</v>
      </c>
      <c r="B180" s="7" t="str">
        <f t="shared" si="2"/>
        <v>Laptop</v>
      </c>
      <c r="C180" s="7" t="str">
        <f t="shared" si="3"/>
        <v>Electronics</v>
      </c>
      <c r="D180" s="7" t="str">
        <f t="shared" si="4"/>
        <v>North</v>
      </c>
      <c r="E180" s="8">
        <f t="shared" si="5"/>
        <v>395</v>
      </c>
      <c r="F180" s="8">
        <f t="shared" si="6"/>
        <v>86.9</v>
      </c>
      <c r="G180" s="9">
        <f t="shared" si="7"/>
        <v>6</v>
      </c>
      <c r="H180" s="7" t="str">
        <f t="shared" si="8"/>
        <v>Dec</v>
      </c>
      <c r="I180" s="7">
        <f t="shared" si="9"/>
        <v>12</v>
      </c>
    </row>
    <row r="181">
      <c r="A181" s="6">
        <f t="shared" si="1"/>
        <v>45690</v>
      </c>
      <c r="B181" s="7" t="str">
        <f t="shared" si="2"/>
        <v>Phone</v>
      </c>
      <c r="C181" s="7" t="str">
        <f t="shared" si="3"/>
        <v>Electronics</v>
      </c>
      <c r="D181" s="7" t="str">
        <f t="shared" si="4"/>
        <v>West</v>
      </c>
      <c r="E181" s="8">
        <f t="shared" si="5"/>
        <v>1853</v>
      </c>
      <c r="F181" s="8">
        <f t="shared" si="6"/>
        <v>333.54</v>
      </c>
      <c r="G181" s="9">
        <f t="shared" si="7"/>
        <v>10</v>
      </c>
      <c r="H181" s="7" t="str">
        <f t="shared" si="8"/>
        <v>Feb</v>
      </c>
      <c r="I181" s="7">
        <f t="shared" si="9"/>
        <v>2</v>
      </c>
    </row>
    <row r="182">
      <c r="A182" s="6">
        <f t="shared" si="1"/>
        <v>45927</v>
      </c>
      <c r="B182" s="7" t="str">
        <f t="shared" si="2"/>
        <v>Tablet</v>
      </c>
      <c r="C182" s="7" t="str">
        <f t="shared" si="3"/>
        <v>Electronics</v>
      </c>
      <c r="D182" s="7" t="str">
        <f t="shared" si="4"/>
        <v>North</v>
      </c>
      <c r="E182" s="8">
        <f t="shared" si="5"/>
        <v>1606</v>
      </c>
      <c r="F182" s="8">
        <f t="shared" si="6"/>
        <v>433.62</v>
      </c>
      <c r="G182" s="9">
        <f t="shared" si="7"/>
        <v>7</v>
      </c>
      <c r="H182" s="7" t="str">
        <f t="shared" si="8"/>
        <v>Sep</v>
      </c>
      <c r="I182" s="7">
        <f t="shared" si="9"/>
        <v>9</v>
      </c>
    </row>
    <row r="183">
      <c r="A183" s="6">
        <f t="shared" si="1"/>
        <v>46003</v>
      </c>
      <c r="B183" s="7" t="str">
        <f t="shared" si="2"/>
        <v>Laptop</v>
      </c>
      <c r="C183" s="7" t="str">
        <f t="shared" si="3"/>
        <v>Electronics</v>
      </c>
      <c r="D183" s="7" t="str">
        <f t="shared" si="4"/>
        <v>West</v>
      </c>
      <c r="E183" s="8">
        <f t="shared" si="5"/>
        <v>1975</v>
      </c>
      <c r="F183" s="8">
        <f t="shared" si="6"/>
        <v>296.25</v>
      </c>
      <c r="G183" s="9">
        <f t="shared" si="7"/>
        <v>2</v>
      </c>
      <c r="H183" s="7" t="str">
        <f t="shared" si="8"/>
        <v>Dec</v>
      </c>
      <c r="I183" s="7">
        <f t="shared" si="9"/>
        <v>12</v>
      </c>
    </row>
    <row r="184">
      <c r="A184" s="6">
        <f t="shared" si="1"/>
        <v>45713</v>
      </c>
      <c r="B184" s="7" t="str">
        <f t="shared" si="2"/>
        <v>Monitor</v>
      </c>
      <c r="C184" s="7" t="str">
        <f t="shared" si="3"/>
        <v>Electronics</v>
      </c>
      <c r="D184" s="7" t="str">
        <f t="shared" si="4"/>
        <v>East</v>
      </c>
      <c r="E184" s="8">
        <f t="shared" si="5"/>
        <v>551</v>
      </c>
      <c r="F184" s="8">
        <f t="shared" si="6"/>
        <v>121.22</v>
      </c>
      <c r="G184" s="9">
        <f t="shared" si="7"/>
        <v>5</v>
      </c>
      <c r="H184" s="7" t="str">
        <f t="shared" si="8"/>
        <v>Feb</v>
      </c>
      <c r="I184" s="7">
        <f t="shared" si="9"/>
        <v>2</v>
      </c>
    </row>
    <row r="185">
      <c r="A185" s="6">
        <f t="shared" si="1"/>
        <v>45988</v>
      </c>
      <c r="B185" s="7" t="str">
        <f t="shared" si="2"/>
        <v>Table</v>
      </c>
      <c r="C185" s="7" t="str">
        <f t="shared" si="3"/>
        <v>Furniture</v>
      </c>
      <c r="D185" s="7" t="str">
        <f t="shared" si="4"/>
        <v>South</v>
      </c>
      <c r="E185" s="8">
        <f t="shared" si="5"/>
        <v>485</v>
      </c>
      <c r="F185" s="8">
        <f t="shared" si="6"/>
        <v>106.7</v>
      </c>
      <c r="G185" s="9">
        <f t="shared" si="7"/>
        <v>7</v>
      </c>
      <c r="H185" s="7" t="str">
        <f t="shared" si="8"/>
        <v>Nov</v>
      </c>
      <c r="I185" s="7">
        <f t="shared" si="9"/>
        <v>11</v>
      </c>
    </row>
    <row r="186">
      <c r="A186" s="6">
        <f t="shared" si="1"/>
        <v>45750</v>
      </c>
      <c r="B186" s="7" t="str">
        <f t="shared" si="2"/>
        <v>Table</v>
      </c>
      <c r="C186" s="7" t="str">
        <f t="shared" si="3"/>
        <v>Furniture</v>
      </c>
      <c r="D186" s="7" t="str">
        <f t="shared" si="4"/>
        <v>West</v>
      </c>
      <c r="E186" s="8">
        <f t="shared" si="5"/>
        <v>254</v>
      </c>
      <c r="F186" s="8">
        <f t="shared" si="6"/>
        <v>27.94</v>
      </c>
      <c r="G186" s="9">
        <f t="shared" si="7"/>
        <v>5</v>
      </c>
      <c r="H186" s="7" t="str">
        <f t="shared" si="8"/>
        <v>Apr</v>
      </c>
      <c r="I186" s="7">
        <f t="shared" si="9"/>
        <v>4</v>
      </c>
    </row>
    <row r="187">
      <c r="A187" s="6">
        <f t="shared" si="1"/>
        <v>45774</v>
      </c>
      <c r="B187" s="7" t="str">
        <f t="shared" si="2"/>
        <v>Tablet</v>
      </c>
      <c r="C187" s="7" t="str">
        <f t="shared" si="3"/>
        <v>Electronics</v>
      </c>
      <c r="D187" s="7" t="str">
        <f t="shared" si="4"/>
        <v>South</v>
      </c>
      <c r="E187" s="8">
        <f t="shared" si="5"/>
        <v>1910</v>
      </c>
      <c r="F187" s="8">
        <f t="shared" si="6"/>
        <v>248.3</v>
      </c>
      <c r="G187" s="9">
        <f t="shared" si="7"/>
        <v>7</v>
      </c>
      <c r="H187" s="7" t="str">
        <f t="shared" si="8"/>
        <v>Apr</v>
      </c>
      <c r="I187" s="7">
        <f t="shared" si="9"/>
        <v>4</v>
      </c>
    </row>
    <row r="188">
      <c r="A188" s="6">
        <f t="shared" si="1"/>
        <v>45706</v>
      </c>
      <c r="B188" s="7" t="str">
        <f t="shared" si="2"/>
        <v>Monitor</v>
      </c>
      <c r="C188" s="7" t="str">
        <f t="shared" si="3"/>
        <v>Electronics</v>
      </c>
      <c r="D188" s="7" t="str">
        <f t="shared" si="4"/>
        <v>South</v>
      </c>
      <c r="E188" s="8">
        <f t="shared" si="5"/>
        <v>1624</v>
      </c>
      <c r="F188" s="8">
        <f t="shared" si="6"/>
        <v>227.36</v>
      </c>
      <c r="G188" s="9">
        <f t="shared" si="7"/>
        <v>5</v>
      </c>
      <c r="H188" s="7" t="str">
        <f t="shared" si="8"/>
        <v>Feb</v>
      </c>
      <c r="I188" s="7">
        <f t="shared" si="9"/>
        <v>2</v>
      </c>
    </row>
    <row r="189">
      <c r="A189" s="6">
        <f t="shared" si="1"/>
        <v>45912</v>
      </c>
      <c r="B189" s="7" t="str">
        <f t="shared" si="2"/>
        <v>Tablet</v>
      </c>
      <c r="C189" s="7" t="str">
        <f t="shared" si="3"/>
        <v>Electronics</v>
      </c>
      <c r="D189" s="7" t="str">
        <f t="shared" si="4"/>
        <v>South</v>
      </c>
      <c r="E189" s="8">
        <f t="shared" si="5"/>
        <v>302</v>
      </c>
      <c r="F189" s="8">
        <f t="shared" si="6"/>
        <v>84.56</v>
      </c>
      <c r="G189" s="9">
        <f t="shared" si="7"/>
        <v>1</v>
      </c>
      <c r="H189" s="7" t="str">
        <f t="shared" si="8"/>
        <v>Sep</v>
      </c>
      <c r="I189" s="7">
        <f t="shared" si="9"/>
        <v>9</v>
      </c>
    </row>
    <row r="190">
      <c r="A190" s="6">
        <f t="shared" si="1"/>
        <v>45800</v>
      </c>
      <c r="B190" s="7" t="str">
        <f t="shared" si="2"/>
        <v>Tablet</v>
      </c>
      <c r="C190" s="7" t="str">
        <f t="shared" si="3"/>
        <v>Electronics</v>
      </c>
      <c r="D190" s="7" t="str">
        <f t="shared" si="4"/>
        <v>West</v>
      </c>
      <c r="E190" s="8">
        <f t="shared" si="5"/>
        <v>667</v>
      </c>
      <c r="F190" s="8">
        <f t="shared" si="6"/>
        <v>193.43</v>
      </c>
      <c r="G190" s="9">
        <f t="shared" si="7"/>
        <v>9</v>
      </c>
      <c r="H190" s="7" t="str">
        <f t="shared" si="8"/>
        <v>May</v>
      </c>
      <c r="I190" s="7">
        <f t="shared" si="9"/>
        <v>5</v>
      </c>
    </row>
    <row r="191">
      <c r="A191" s="6">
        <f t="shared" si="1"/>
        <v>45750</v>
      </c>
      <c r="B191" s="7" t="str">
        <f t="shared" si="2"/>
        <v>Tablet</v>
      </c>
      <c r="C191" s="7" t="str">
        <f t="shared" si="3"/>
        <v>Electronics</v>
      </c>
      <c r="D191" s="7" t="str">
        <f t="shared" si="4"/>
        <v>South</v>
      </c>
      <c r="E191" s="8">
        <f t="shared" si="5"/>
        <v>730</v>
      </c>
      <c r="F191" s="8">
        <f t="shared" si="6"/>
        <v>80.3</v>
      </c>
      <c r="G191" s="9">
        <f t="shared" si="7"/>
        <v>10</v>
      </c>
      <c r="H191" s="7" t="str">
        <f t="shared" si="8"/>
        <v>Apr</v>
      </c>
      <c r="I191" s="7">
        <f t="shared" si="9"/>
        <v>4</v>
      </c>
    </row>
    <row r="192">
      <c r="A192" s="6">
        <f t="shared" si="1"/>
        <v>45956</v>
      </c>
      <c r="B192" s="7" t="str">
        <f t="shared" si="2"/>
        <v>Chair</v>
      </c>
      <c r="C192" s="7" t="str">
        <f t="shared" si="3"/>
        <v>Furniture</v>
      </c>
      <c r="D192" s="7" t="str">
        <f t="shared" si="4"/>
        <v>West</v>
      </c>
      <c r="E192" s="8">
        <f t="shared" si="5"/>
        <v>522</v>
      </c>
      <c r="F192" s="8">
        <f t="shared" si="6"/>
        <v>146.16</v>
      </c>
      <c r="G192" s="9">
        <f t="shared" si="7"/>
        <v>6</v>
      </c>
      <c r="H192" s="7" t="str">
        <f t="shared" si="8"/>
        <v>Oct</v>
      </c>
      <c r="I192" s="7">
        <f t="shared" si="9"/>
        <v>10</v>
      </c>
    </row>
    <row r="193">
      <c r="A193" s="6">
        <f t="shared" si="1"/>
        <v>45889</v>
      </c>
      <c r="B193" s="7" t="str">
        <f t="shared" si="2"/>
        <v>Table</v>
      </c>
      <c r="C193" s="7" t="str">
        <f t="shared" si="3"/>
        <v>Furniture</v>
      </c>
      <c r="D193" s="7" t="str">
        <f t="shared" si="4"/>
        <v>West</v>
      </c>
      <c r="E193" s="8">
        <f t="shared" si="5"/>
        <v>660</v>
      </c>
      <c r="F193" s="8">
        <f t="shared" si="6"/>
        <v>132</v>
      </c>
      <c r="G193" s="9">
        <f t="shared" si="7"/>
        <v>3</v>
      </c>
      <c r="H193" s="7" t="str">
        <f t="shared" si="8"/>
        <v>Aug</v>
      </c>
      <c r="I193" s="7">
        <f t="shared" si="9"/>
        <v>8</v>
      </c>
    </row>
    <row r="194">
      <c r="A194" s="6">
        <f t="shared" si="1"/>
        <v>45947</v>
      </c>
      <c r="B194" s="7" t="str">
        <f t="shared" si="2"/>
        <v>Table</v>
      </c>
      <c r="C194" s="7" t="str">
        <f t="shared" si="3"/>
        <v>Furniture</v>
      </c>
      <c r="D194" s="7" t="str">
        <f t="shared" si="4"/>
        <v>East</v>
      </c>
      <c r="E194" s="8">
        <f t="shared" si="5"/>
        <v>922</v>
      </c>
      <c r="F194" s="8">
        <f t="shared" si="6"/>
        <v>165.96</v>
      </c>
      <c r="G194" s="9">
        <f t="shared" si="7"/>
        <v>7</v>
      </c>
      <c r="H194" s="7" t="str">
        <f t="shared" si="8"/>
        <v>Oct</v>
      </c>
      <c r="I194" s="7">
        <f t="shared" si="9"/>
        <v>10</v>
      </c>
    </row>
    <row r="195">
      <c r="A195" s="6">
        <f t="shared" si="1"/>
        <v>45765</v>
      </c>
      <c r="B195" s="7" t="str">
        <f t="shared" si="2"/>
        <v>Chair</v>
      </c>
      <c r="C195" s="7" t="str">
        <f t="shared" si="3"/>
        <v>Furniture</v>
      </c>
      <c r="D195" s="7" t="str">
        <f t="shared" si="4"/>
        <v>West</v>
      </c>
      <c r="E195" s="8">
        <f t="shared" si="5"/>
        <v>599</v>
      </c>
      <c r="F195" s="8">
        <f t="shared" si="6"/>
        <v>59.9</v>
      </c>
      <c r="G195" s="9">
        <f t="shared" si="7"/>
        <v>2</v>
      </c>
      <c r="H195" s="7" t="str">
        <f t="shared" si="8"/>
        <v>Apr</v>
      </c>
      <c r="I195" s="7">
        <f t="shared" si="9"/>
        <v>4</v>
      </c>
    </row>
    <row r="196">
      <c r="A196" s="6">
        <f t="shared" si="1"/>
        <v>45922</v>
      </c>
      <c r="B196" s="7" t="str">
        <f t="shared" si="2"/>
        <v>Laptop</v>
      </c>
      <c r="C196" s="7" t="str">
        <f t="shared" si="3"/>
        <v>Electronics</v>
      </c>
      <c r="D196" s="7" t="str">
        <f t="shared" si="4"/>
        <v>North</v>
      </c>
      <c r="E196" s="8">
        <f t="shared" si="5"/>
        <v>627</v>
      </c>
      <c r="F196" s="8">
        <f t="shared" si="6"/>
        <v>175.56</v>
      </c>
      <c r="G196" s="9">
        <f t="shared" si="7"/>
        <v>6</v>
      </c>
      <c r="H196" s="7" t="str">
        <f t="shared" si="8"/>
        <v>Sep</v>
      </c>
      <c r="I196" s="7">
        <f t="shared" si="9"/>
        <v>9</v>
      </c>
    </row>
    <row r="197">
      <c r="A197" s="6">
        <f t="shared" si="1"/>
        <v>45720</v>
      </c>
      <c r="B197" s="7" t="str">
        <f t="shared" si="2"/>
        <v>Table</v>
      </c>
      <c r="C197" s="7" t="str">
        <f t="shared" si="3"/>
        <v>Furniture</v>
      </c>
      <c r="D197" s="7" t="str">
        <f t="shared" si="4"/>
        <v>West</v>
      </c>
      <c r="E197" s="8">
        <f t="shared" si="5"/>
        <v>670</v>
      </c>
      <c r="F197" s="8">
        <f t="shared" si="6"/>
        <v>154.1</v>
      </c>
      <c r="G197" s="9">
        <f t="shared" si="7"/>
        <v>1</v>
      </c>
      <c r="H197" s="7" t="str">
        <f t="shared" si="8"/>
        <v>Mar</v>
      </c>
      <c r="I197" s="7">
        <f t="shared" si="9"/>
        <v>3</v>
      </c>
    </row>
    <row r="198">
      <c r="A198" s="6">
        <f t="shared" si="1"/>
        <v>45890</v>
      </c>
      <c r="B198" s="7" t="str">
        <f t="shared" si="2"/>
        <v>Tablet</v>
      </c>
      <c r="C198" s="7" t="str">
        <f t="shared" si="3"/>
        <v>Electronics</v>
      </c>
      <c r="D198" s="7" t="str">
        <f t="shared" si="4"/>
        <v>South</v>
      </c>
      <c r="E198" s="8">
        <f t="shared" si="5"/>
        <v>1026</v>
      </c>
      <c r="F198" s="8">
        <f t="shared" si="6"/>
        <v>123.12</v>
      </c>
      <c r="G198" s="9">
        <f t="shared" si="7"/>
        <v>8</v>
      </c>
      <c r="H198" s="7" t="str">
        <f t="shared" si="8"/>
        <v>Aug</v>
      </c>
      <c r="I198" s="7">
        <f t="shared" si="9"/>
        <v>8</v>
      </c>
    </row>
    <row r="199">
      <c r="A199" s="6">
        <f t="shared" si="1"/>
        <v>46006</v>
      </c>
      <c r="B199" s="7" t="str">
        <f t="shared" si="2"/>
        <v>Phone</v>
      </c>
      <c r="C199" s="7" t="str">
        <f t="shared" si="3"/>
        <v>Electronics</v>
      </c>
      <c r="D199" s="7" t="str">
        <f t="shared" si="4"/>
        <v>East</v>
      </c>
      <c r="E199" s="8">
        <f t="shared" si="5"/>
        <v>1786</v>
      </c>
      <c r="F199" s="8">
        <f t="shared" si="6"/>
        <v>357.2</v>
      </c>
      <c r="G199" s="9">
        <f t="shared" si="7"/>
        <v>9</v>
      </c>
      <c r="H199" s="7" t="str">
        <f t="shared" si="8"/>
        <v>Dec</v>
      </c>
      <c r="I199" s="7">
        <f t="shared" si="9"/>
        <v>12</v>
      </c>
    </row>
    <row r="200">
      <c r="A200" s="6">
        <f t="shared" si="1"/>
        <v>45700</v>
      </c>
      <c r="B200" s="7" t="str">
        <f t="shared" si="2"/>
        <v>Monitor</v>
      </c>
      <c r="C200" s="7" t="str">
        <f t="shared" si="3"/>
        <v>Electronics</v>
      </c>
      <c r="D200" s="7" t="str">
        <f t="shared" si="4"/>
        <v>West</v>
      </c>
      <c r="E200" s="8">
        <f t="shared" si="5"/>
        <v>1290</v>
      </c>
      <c r="F200" s="8">
        <f t="shared" si="6"/>
        <v>206.4</v>
      </c>
      <c r="G200" s="9">
        <f t="shared" si="7"/>
        <v>9</v>
      </c>
      <c r="H200" s="7" t="str">
        <f t="shared" si="8"/>
        <v>Feb</v>
      </c>
      <c r="I200" s="7">
        <f t="shared" si="9"/>
        <v>2</v>
      </c>
    </row>
    <row r="201">
      <c r="A201" s="6">
        <f t="shared" si="1"/>
        <v>45712</v>
      </c>
      <c r="B201" s="7" t="str">
        <f t="shared" si="2"/>
        <v>Table</v>
      </c>
      <c r="C201" s="7" t="str">
        <f t="shared" si="3"/>
        <v>Furniture</v>
      </c>
      <c r="D201" s="7" t="str">
        <f t="shared" si="4"/>
        <v>West</v>
      </c>
      <c r="E201" s="8">
        <f t="shared" si="5"/>
        <v>961</v>
      </c>
      <c r="F201" s="8">
        <f t="shared" si="6"/>
        <v>172.98</v>
      </c>
      <c r="G201" s="9">
        <f t="shared" si="7"/>
        <v>9</v>
      </c>
      <c r="H201" s="7" t="str">
        <f t="shared" si="8"/>
        <v>Feb</v>
      </c>
      <c r="I201" s="7">
        <f t="shared" si="9"/>
        <v>2</v>
      </c>
    </row>
    <row r="202">
      <c r="A202" s="6">
        <f t="shared" si="1"/>
        <v>45928</v>
      </c>
      <c r="B202" s="7" t="str">
        <f t="shared" si="2"/>
        <v>Table</v>
      </c>
      <c r="C202" s="7" t="str">
        <f t="shared" si="3"/>
        <v>Furniture</v>
      </c>
      <c r="D202" s="7" t="str">
        <f t="shared" si="4"/>
        <v>East</v>
      </c>
      <c r="E202" s="8">
        <f t="shared" si="5"/>
        <v>1892</v>
      </c>
      <c r="F202" s="8">
        <f t="shared" si="6"/>
        <v>245.96</v>
      </c>
      <c r="G202" s="9">
        <f t="shared" si="7"/>
        <v>4</v>
      </c>
      <c r="H202" s="7" t="str">
        <f t="shared" si="8"/>
        <v>Sep</v>
      </c>
      <c r="I202" s="7">
        <f t="shared" si="9"/>
        <v>9</v>
      </c>
    </row>
    <row r="203">
      <c r="A203" s="6">
        <f t="shared" si="1"/>
        <v>46000</v>
      </c>
      <c r="B203" s="7" t="str">
        <f t="shared" si="2"/>
        <v>Laptop</v>
      </c>
      <c r="C203" s="7" t="str">
        <f t="shared" si="3"/>
        <v>Electronics</v>
      </c>
      <c r="D203" s="7" t="str">
        <f t="shared" si="4"/>
        <v>East</v>
      </c>
      <c r="E203" s="8">
        <f t="shared" si="5"/>
        <v>240</v>
      </c>
      <c r="F203" s="8">
        <f t="shared" si="6"/>
        <v>40.8</v>
      </c>
      <c r="G203" s="9">
        <f t="shared" si="7"/>
        <v>5</v>
      </c>
      <c r="H203" s="7" t="str">
        <f t="shared" si="8"/>
        <v>Dec</v>
      </c>
      <c r="I203" s="7">
        <f t="shared" si="9"/>
        <v>12</v>
      </c>
    </row>
    <row r="204">
      <c r="A204" s="6">
        <f t="shared" si="1"/>
        <v>45714</v>
      </c>
      <c r="B204" s="7" t="str">
        <f t="shared" si="2"/>
        <v>Phone</v>
      </c>
      <c r="C204" s="7" t="str">
        <f t="shared" si="3"/>
        <v>Electronics</v>
      </c>
      <c r="D204" s="7" t="str">
        <f t="shared" si="4"/>
        <v>South</v>
      </c>
      <c r="E204" s="8">
        <f t="shared" si="5"/>
        <v>318</v>
      </c>
      <c r="F204" s="8">
        <f t="shared" si="6"/>
        <v>63.6</v>
      </c>
      <c r="G204" s="9">
        <f t="shared" si="7"/>
        <v>4</v>
      </c>
      <c r="H204" s="7" t="str">
        <f t="shared" si="8"/>
        <v>Feb</v>
      </c>
      <c r="I204" s="7">
        <f t="shared" si="9"/>
        <v>2</v>
      </c>
    </row>
    <row r="205">
      <c r="A205" s="6">
        <f t="shared" si="1"/>
        <v>45831</v>
      </c>
      <c r="B205" s="7" t="str">
        <f t="shared" si="2"/>
        <v>Table</v>
      </c>
      <c r="C205" s="7" t="str">
        <f t="shared" si="3"/>
        <v>Furniture</v>
      </c>
      <c r="D205" s="7" t="str">
        <f t="shared" si="4"/>
        <v>South</v>
      </c>
      <c r="E205" s="8">
        <f t="shared" si="5"/>
        <v>804</v>
      </c>
      <c r="F205" s="8">
        <f t="shared" si="6"/>
        <v>241.2</v>
      </c>
      <c r="G205" s="9">
        <f t="shared" si="7"/>
        <v>3</v>
      </c>
      <c r="H205" s="7" t="str">
        <f t="shared" si="8"/>
        <v>Jun</v>
      </c>
      <c r="I205" s="7">
        <f t="shared" si="9"/>
        <v>6</v>
      </c>
    </row>
    <row r="206">
      <c r="A206" s="6">
        <f t="shared" si="1"/>
        <v>45955</v>
      </c>
      <c r="B206" s="7" t="str">
        <f t="shared" si="2"/>
        <v>Monitor</v>
      </c>
      <c r="C206" s="7" t="str">
        <f t="shared" si="3"/>
        <v>Electronics</v>
      </c>
      <c r="D206" s="7" t="str">
        <f t="shared" si="4"/>
        <v>North</v>
      </c>
      <c r="E206" s="8">
        <f t="shared" si="5"/>
        <v>1401</v>
      </c>
      <c r="F206" s="8">
        <f t="shared" si="6"/>
        <v>336.24</v>
      </c>
      <c r="G206" s="9">
        <f t="shared" si="7"/>
        <v>9</v>
      </c>
      <c r="H206" s="7" t="str">
        <f t="shared" si="8"/>
        <v>Oct</v>
      </c>
      <c r="I206" s="7">
        <f t="shared" si="9"/>
        <v>10</v>
      </c>
    </row>
    <row r="207">
      <c r="A207" s="6">
        <f t="shared" si="1"/>
        <v>45671</v>
      </c>
      <c r="B207" s="7" t="str">
        <f t="shared" si="2"/>
        <v>Tablet</v>
      </c>
      <c r="C207" s="7" t="str">
        <f t="shared" si="3"/>
        <v>Electronics</v>
      </c>
      <c r="D207" s="7" t="str">
        <f t="shared" si="4"/>
        <v>North</v>
      </c>
      <c r="E207" s="8">
        <f t="shared" si="5"/>
        <v>1634</v>
      </c>
      <c r="F207" s="8">
        <f t="shared" si="6"/>
        <v>277.78</v>
      </c>
      <c r="G207" s="9">
        <f t="shared" si="7"/>
        <v>6</v>
      </c>
      <c r="H207" s="7" t="str">
        <f t="shared" si="8"/>
        <v>Jan</v>
      </c>
      <c r="I207" s="7">
        <f t="shared" si="9"/>
        <v>1</v>
      </c>
    </row>
    <row r="208">
      <c r="A208" s="6">
        <f t="shared" si="1"/>
        <v>45814</v>
      </c>
      <c r="B208" s="7" t="str">
        <f t="shared" si="2"/>
        <v>Laptop</v>
      </c>
      <c r="C208" s="7" t="str">
        <f t="shared" si="3"/>
        <v>Electronics</v>
      </c>
      <c r="D208" s="7" t="str">
        <f t="shared" si="4"/>
        <v>South</v>
      </c>
      <c r="E208" s="8">
        <f t="shared" si="5"/>
        <v>1786</v>
      </c>
      <c r="F208" s="8">
        <f t="shared" si="6"/>
        <v>375.06</v>
      </c>
      <c r="G208" s="9">
        <f t="shared" si="7"/>
        <v>10</v>
      </c>
      <c r="H208" s="7" t="str">
        <f t="shared" si="8"/>
        <v>Jun</v>
      </c>
      <c r="I208" s="7">
        <f t="shared" si="9"/>
        <v>6</v>
      </c>
    </row>
    <row r="209">
      <c r="A209" s="6">
        <f t="shared" si="1"/>
        <v>45686</v>
      </c>
      <c r="B209" s="7" t="str">
        <f t="shared" si="2"/>
        <v>Phone</v>
      </c>
      <c r="C209" s="7" t="str">
        <f t="shared" si="3"/>
        <v>Electronics</v>
      </c>
      <c r="D209" s="7" t="str">
        <f t="shared" si="4"/>
        <v>West</v>
      </c>
      <c r="E209" s="8">
        <f t="shared" si="5"/>
        <v>930</v>
      </c>
      <c r="F209" s="8">
        <f t="shared" si="6"/>
        <v>186</v>
      </c>
      <c r="G209" s="9">
        <f t="shared" si="7"/>
        <v>5</v>
      </c>
      <c r="H209" s="7" t="str">
        <f t="shared" si="8"/>
        <v>Jan</v>
      </c>
      <c r="I209" s="7">
        <f t="shared" si="9"/>
        <v>1</v>
      </c>
    </row>
    <row r="210">
      <c r="A210" s="6">
        <f t="shared" si="1"/>
        <v>45928</v>
      </c>
      <c r="B210" s="7" t="str">
        <f t="shared" si="2"/>
        <v>Tablet</v>
      </c>
      <c r="C210" s="7" t="str">
        <f t="shared" si="3"/>
        <v>Electronics</v>
      </c>
      <c r="D210" s="7" t="str">
        <f t="shared" si="4"/>
        <v>East</v>
      </c>
      <c r="E210" s="8">
        <f t="shared" si="5"/>
        <v>1920</v>
      </c>
      <c r="F210" s="8">
        <f t="shared" si="6"/>
        <v>268.8</v>
      </c>
      <c r="G210" s="9">
        <f t="shared" si="7"/>
        <v>6</v>
      </c>
      <c r="H210" s="7" t="str">
        <f t="shared" si="8"/>
        <v>Sep</v>
      </c>
      <c r="I210" s="7">
        <f t="shared" si="9"/>
        <v>9</v>
      </c>
    </row>
    <row r="211">
      <c r="A211" s="6">
        <f t="shared" si="1"/>
        <v>45937</v>
      </c>
      <c r="B211" s="7" t="str">
        <f t="shared" si="2"/>
        <v>Laptop</v>
      </c>
      <c r="C211" s="7" t="str">
        <f t="shared" si="3"/>
        <v>Electronics</v>
      </c>
      <c r="D211" s="7" t="str">
        <f t="shared" si="4"/>
        <v>East</v>
      </c>
      <c r="E211" s="8">
        <f t="shared" si="5"/>
        <v>884</v>
      </c>
      <c r="F211" s="8">
        <f t="shared" si="6"/>
        <v>238.68</v>
      </c>
      <c r="G211" s="9">
        <f t="shared" si="7"/>
        <v>5</v>
      </c>
      <c r="H211" s="7" t="str">
        <f t="shared" si="8"/>
        <v>Oct</v>
      </c>
      <c r="I211" s="7">
        <f t="shared" si="9"/>
        <v>10</v>
      </c>
    </row>
    <row r="212">
      <c r="A212" s="6">
        <f t="shared" si="1"/>
        <v>45747</v>
      </c>
      <c r="B212" s="7" t="str">
        <f t="shared" si="2"/>
        <v>Tablet</v>
      </c>
      <c r="C212" s="7" t="str">
        <f t="shared" si="3"/>
        <v>Electronics</v>
      </c>
      <c r="D212" s="7" t="str">
        <f t="shared" si="4"/>
        <v>East</v>
      </c>
      <c r="E212" s="8">
        <f t="shared" si="5"/>
        <v>662</v>
      </c>
      <c r="F212" s="8">
        <f t="shared" si="6"/>
        <v>72.82</v>
      </c>
      <c r="G212" s="9">
        <f t="shared" si="7"/>
        <v>1</v>
      </c>
      <c r="H212" s="7" t="str">
        <f t="shared" si="8"/>
        <v>Mar</v>
      </c>
      <c r="I212" s="7">
        <f t="shared" si="9"/>
        <v>3</v>
      </c>
    </row>
    <row r="213">
      <c r="A213" s="6">
        <f t="shared" si="1"/>
        <v>45944</v>
      </c>
      <c r="B213" s="7" t="str">
        <f t="shared" si="2"/>
        <v>Phone</v>
      </c>
      <c r="C213" s="7" t="str">
        <f t="shared" si="3"/>
        <v>Electronics</v>
      </c>
      <c r="D213" s="7" t="str">
        <f t="shared" si="4"/>
        <v>North</v>
      </c>
      <c r="E213" s="8">
        <f t="shared" si="5"/>
        <v>1071</v>
      </c>
      <c r="F213" s="8">
        <f t="shared" si="6"/>
        <v>278.46</v>
      </c>
      <c r="G213" s="9">
        <f t="shared" si="7"/>
        <v>4</v>
      </c>
      <c r="H213" s="7" t="str">
        <f t="shared" si="8"/>
        <v>Oct</v>
      </c>
      <c r="I213" s="7">
        <f t="shared" si="9"/>
        <v>10</v>
      </c>
    </row>
    <row r="214">
      <c r="A214" s="6">
        <f t="shared" si="1"/>
        <v>46023</v>
      </c>
      <c r="B214" s="7" t="str">
        <f t="shared" si="2"/>
        <v>Table</v>
      </c>
      <c r="C214" s="7" t="str">
        <f t="shared" si="3"/>
        <v>Furniture</v>
      </c>
      <c r="D214" s="7" t="str">
        <f t="shared" si="4"/>
        <v>East</v>
      </c>
      <c r="E214" s="8">
        <f t="shared" si="5"/>
        <v>1302</v>
      </c>
      <c r="F214" s="8">
        <f t="shared" si="6"/>
        <v>338.52</v>
      </c>
      <c r="G214" s="9">
        <f t="shared" si="7"/>
        <v>1</v>
      </c>
      <c r="H214" s="7" t="str">
        <f t="shared" si="8"/>
        <v>Jan</v>
      </c>
      <c r="I214" s="7">
        <f t="shared" si="9"/>
        <v>1</v>
      </c>
    </row>
    <row r="215">
      <c r="A215" s="6">
        <f t="shared" si="1"/>
        <v>45758</v>
      </c>
      <c r="B215" s="7" t="str">
        <f t="shared" si="2"/>
        <v>Tablet</v>
      </c>
      <c r="C215" s="7" t="str">
        <f t="shared" si="3"/>
        <v>Electronics</v>
      </c>
      <c r="D215" s="7" t="str">
        <f t="shared" si="4"/>
        <v>North</v>
      </c>
      <c r="E215" s="8">
        <f t="shared" si="5"/>
        <v>1918</v>
      </c>
      <c r="F215" s="8">
        <f t="shared" si="6"/>
        <v>479.5</v>
      </c>
      <c r="G215" s="9">
        <f t="shared" si="7"/>
        <v>5</v>
      </c>
      <c r="H215" s="7" t="str">
        <f t="shared" si="8"/>
        <v>Apr</v>
      </c>
      <c r="I215" s="7">
        <f t="shared" si="9"/>
        <v>4</v>
      </c>
    </row>
    <row r="216">
      <c r="A216" s="6">
        <f t="shared" si="1"/>
        <v>45892</v>
      </c>
      <c r="B216" s="7" t="str">
        <f t="shared" si="2"/>
        <v>Table</v>
      </c>
      <c r="C216" s="7" t="str">
        <f t="shared" si="3"/>
        <v>Furniture</v>
      </c>
      <c r="D216" s="7" t="str">
        <f t="shared" si="4"/>
        <v>East</v>
      </c>
      <c r="E216" s="8">
        <f t="shared" si="5"/>
        <v>1767</v>
      </c>
      <c r="F216" s="8">
        <f t="shared" si="6"/>
        <v>371.07</v>
      </c>
      <c r="G216" s="9">
        <f t="shared" si="7"/>
        <v>10</v>
      </c>
      <c r="H216" s="7" t="str">
        <f t="shared" si="8"/>
        <v>Aug</v>
      </c>
      <c r="I216" s="7">
        <f t="shared" si="9"/>
        <v>8</v>
      </c>
    </row>
    <row r="217">
      <c r="A217" s="6">
        <f t="shared" si="1"/>
        <v>45716</v>
      </c>
      <c r="B217" s="7" t="str">
        <f t="shared" si="2"/>
        <v>Monitor</v>
      </c>
      <c r="C217" s="7" t="str">
        <f t="shared" si="3"/>
        <v>Electronics</v>
      </c>
      <c r="D217" s="7" t="str">
        <f t="shared" si="4"/>
        <v>South</v>
      </c>
      <c r="E217" s="8">
        <f t="shared" si="5"/>
        <v>555</v>
      </c>
      <c r="F217" s="8">
        <f t="shared" si="6"/>
        <v>88.8</v>
      </c>
      <c r="G217" s="9">
        <f t="shared" si="7"/>
        <v>1</v>
      </c>
      <c r="H217" s="7" t="str">
        <f t="shared" si="8"/>
        <v>Feb</v>
      </c>
      <c r="I217" s="7">
        <f t="shared" si="9"/>
        <v>2</v>
      </c>
    </row>
    <row r="218">
      <c r="A218" s="6">
        <f t="shared" si="1"/>
        <v>45782</v>
      </c>
      <c r="B218" s="7" t="str">
        <f t="shared" si="2"/>
        <v>Laptop</v>
      </c>
      <c r="C218" s="7" t="str">
        <f t="shared" si="3"/>
        <v>Electronics</v>
      </c>
      <c r="D218" s="7" t="str">
        <f t="shared" si="4"/>
        <v>North</v>
      </c>
      <c r="E218" s="8">
        <f t="shared" si="5"/>
        <v>1035</v>
      </c>
      <c r="F218" s="8">
        <f t="shared" si="6"/>
        <v>103.5</v>
      </c>
      <c r="G218" s="9">
        <f t="shared" si="7"/>
        <v>7</v>
      </c>
      <c r="H218" s="7" t="str">
        <f t="shared" si="8"/>
        <v>May</v>
      </c>
      <c r="I218" s="7">
        <f t="shared" si="9"/>
        <v>5</v>
      </c>
    </row>
    <row r="219">
      <c r="A219" s="6">
        <f t="shared" si="1"/>
        <v>45962</v>
      </c>
      <c r="B219" s="7" t="str">
        <f t="shared" si="2"/>
        <v>Laptop</v>
      </c>
      <c r="C219" s="7" t="str">
        <f t="shared" si="3"/>
        <v>Electronics</v>
      </c>
      <c r="D219" s="7" t="str">
        <f t="shared" si="4"/>
        <v>East</v>
      </c>
      <c r="E219" s="8">
        <f t="shared" si="5"/>
        <v>910</v>
      </c>
      <c r="F219" s="8">
        <f t="shared" si="6"/>
        <v>118.3</v>
      </c>
      <c r="G219" s="9">
        <f t="shared" si="7"/>
        <v>4</v>
      </c>
      <c r="H219" s="7" t="str">
        <f t="shared" si="8"/>
        <v>Nov</v>
      </c>
      <c r="I219" s="7">
        <f t="shared" si="9"/>
        <v>11</v>
      </c>
    </row>
    <row r="220">
      <c r="A220" s="6">
        <f t="shared" si="1"/>
        <v>45966</v>
      </c>
      <c r="B220" s="7" t="str">
        <f t="shared" si="2"/>
        <v>Laptop</v>
      </c>
      <c r="C220" s="7" t="str">
        <f t="shared" si="3"/>
        <v>Electronics</v>
      </c>
      <c r="D220" s="7" t="str">
        <f t="shared" si="4"/>
        <v>South</v>
      </c>
      <c r="E220" s="8">
        <f t="shared" si="5"/>
        <v>887</v>
      </c>
      <c r="F220" s="8">
        <f t="shared" si="6"/>
        <v>221.75</v>
      </c>
      <c r="G220" s="9">
        <f t="shared" si="7"/>
        <v>6</v>
      </c>
      <c r="H220" s="7" t="str">
        <f t="shared" si="8"/>
        <v>Nov</v>
      </c>
      <c r="I220" s="7">
        <f t="shared" si="9"/>
        <v>11</v>
      </c>
    </row>
    <row r="221">
      <c r="A221" s="6">
        <f t="shared" si="1"/>
        <v>45822</v>
      </c>
      <c r="B221" s="7" t="str">
        <f t="shared" si="2"/>
        <v>Laptop</v>
      </c>
      <c r="C221" s="7" t="str">
        <f t="shared" si="3"/>
        <v>Electronics</v>
      </c>
      <c r="D221" s="7" t="str">
        <f t="shared" si="4"/>
        <v>West</v>
      </c>
      <c r="E221" s="8">
        <f t="shared" si="5"/>
        <v>1723</v>
      </c>
      <c r="F221" s="8">
        <f t="shared" si="6"/>
        <v>241.22</v>
      </c>
      <c r="G221" s="9">
        <f t="shared" si="7"/>
        <v>1</v>
      </c>
      <c r="H221" s="7" t="str">
        <f t="shared" si="8"/>
        <v>Jun</v>
      </c>
      <c r="I221" s="7">
        <f t="shared" si="9"/>
        <v>6</v>
      </c>
    </row>
    <row r="222">
      <c r="A222" s="6">
        <f t="shared" si="1"/>
        <v>45862</v>
      </c>
      <c r="B222" s="7" t="str">
        <f t="shared" si="2"/>
        <v>Monitor</v>
      </c>
      <c r="C222" s="7" t="str">
        <f t="shared" si="3"/>
        <v>Electronics</v>
      </c>
      <c r="D222" s="7" t="str">
        <f t="shared" si="4"/>
        <v>South</v>
      </c>
      <c r="E222" s="8">
        <f t="shared" si="5"/>
        <v>471</v>
      </c>
      <c r="F222" s="8">
        <f t="shared" si="6"/>
        <v>98.91</v>
      </c>
      <c r="G222" s="9">
        <f t="shared" si="7"/>
        <v>5</v>
      </c>
      <c r="H222" s="7" t="str">
        <f t="shared" si="8"/>
        <v>Jul</v>
      </c>
      <c r="I222" s="7">
        <f t="shared" si="9"/>
        <v>7</v>
      </c>
    </row>
    <row r="223">
      <c r="A223" s="6">
        <f t="shared" si="1"/>
        <v>45884</v>
      </c>
      <c r="B223" s="7" t="str">
        <f t="shared" si="2"/>
        <v>Phone</v>
      </c>
      <c r="C223" s="7" t="str">
        <f t="shared" si="3"/>
        <v>Electronics</v>
      </c>
      <c r="D223" s="7" t="str">
        <f t="shared" si="4"/>
        <v>North</v>
      </c>
      <c r="E223" s="8">
        <f t="shared" si="5"/>
        <v>1881</v>
      </c>
      <c r="F223" s="8">
        <f t="shared" si="6"/>
        <v>244.53</v>
      </c>
      <c r="G223" s="9">
        <f t="shared" si="7"/>
        <v>9</v>
      </c>
      <c r="H223" s="7" t="str">
        <f t="shared" si="8"/>
        <v>Aug</v>
      </c>
      <c r="I223" s="7">
        <f t="shared" si="9"/>
        <v>8</v>
      </c>
    </row>
    <row r="224">
      <c r="A224" s="6">
        <f t="shared" si="1"/>
        <v>45996</v>
      </c>
      <c r="B224" s="7" t="str">
        <f t="shared" si="2"/>
        <v>Laptop</v>
      </c>
      <c r="C224" s="7" t="str">
        <f t="shared" si="3"/>
        <v>Electronics</v>
      </c>
      <c r="D224" s="7" t="str">
        <f t="shared" si="4"/>
        <v>North</v>
      </c>
      <c r="E224" s="8">
        <f t="shared" si="5"/>
        <v>526</v>
      </c>
      <c r="F224" s="8">
        <f t="shared" si="6"/>
        <v>63.12</v>
      </c>
      <c r="G224" s="9">
        <f t="shared" si="7"/>
        <v>6</v>
      </c>
      <c r="H224" s="7" t="str">
        <f t="shared" si="8"/>
        <v>Dec</v>
      </c>
      <c r="I224" s="7">
        <f t="shared" si="9"/>
        <v>12</v>
      </c>
    </row>
    <row r="225">
      <c r="A225" s="6">
        <f t="shared" si="1"/>
        <v>45717</v>
      </c>
      <c r="B225" s="7" t="str">
        <f t="shared" si="2"/>
        <v>Tablet</v>
      </c>
      <c r="C225" s="7" t="str">
        <f t="shared" si="3"/>
        <v>Electronics</v>
      </c>
      <c r="D225" s="7" t="str">
        <f t="shared" si="4"/>
        <v>South</v>
      </c>
      <c r="E225" s="8">
        <f t="shared" si="5"/>
        <v>1112</v>
      </c>
      <c r="F225" s="8">
        <f t="shared" si="6"/>
        <v>333.6</v>
      </c>
      <c r="G225" s="9">
        <f t="shared" si="7"/>
        <v>2</v>
      </c>
      <c r="H225" s="7" t="str">
        <f t="shared" si="8"/>
        <v>Mar</v>
      </c>
      <c r="I225" s="7">
        <f t="shared" si="9"/>
        <v>3</v>
      </c>
    </row>
    <row r="226">
      <c r="A226" s="6">
        <f t="shared" si="1"/>
        <v>45980</v>
      </c>
      <c r="B226" s="7" t="str">
        <f t="shared" si="2"/>
        <v>Phone</v>
      </c>
      <c r="C226" s="7" t="str">
        <f t="shared" si="3"/>
        <v>Electronics</v>
      </c>
      <c r="D226" s="7" t="str">
        <f t="shared" si="4"/>
        <v>South</v>
      </c>
      <c r="E226" s="8">
        <f t="shared" si="5"/>
        <v>1527</v>
      </c>
      <c r="F226" s="8">
        <f t="shared" si="6"/>
        <v>259.59</v>
      </c>
      <c r="G226" s="9">
        <f t="shared" si="7"/>
        <v>5</v>
      </c>
      <c r="H226" s="7" t="str">
        <f t="shared" si="8"/>
        <v>Nov</v>
      </c>
      <c r="I226" s="7">
        <f t="shared" si="9"/>
        <v>11</v>
      </c>
    </row>
    <row r="227">
      <c r="A227" s="6">
        <f t="shared" si="1"/>
        <v>45813</v>
      </c>
      <c r="B227" s="7" t="str">
        <f t="shared" si="2"/>
        <v>Monitor</v>
      </c>
      <c r="C227" s="7" t="str">
        <f t="shared" si="3"/>
        <v>Electronics</v>
      </c>
      <c r="D227" s="7" t="str">
        <f t="shared" si="4"/>
        <v>West</v>
      </c>
      <c r="E227" s="8">
        <f t="shared" si="5"/>
        <v>1912</v>
      </c>
      <c r="F227" s="8">
        <f t="shared" si="6"/>
        <v>439.76</v>
      </c>
      <c r="G227" s="9">
        <f t="shared" si="7"/>
        <v>6</v>
      </c>
      <c r="H227" s="7" t="str">
        <f t="shared" si="8"/>
        <v>Jun</v>
      </c>
      <c r="I227" s="7">
        <f t="shared" si="9"/>
        <v>6</v>
      </c>
    </row>
    <row r="228">
      <c r="A228" s="6">
        <f t="shared" si="1"/>
        <v>45924</v>
      </c>
      <c r="B228" s="7" t="str">
        <f t="shared" si="2"/>
        <v>Table</v>
      </c>
      <c r="C228" s="7" t="str">
        <f t="shared" si="3"/>
        <v>Furniture</v>
      </c>
      <c r="D228" s="7" t="str">
        <f t="shared" si="4"/>
        <v>South</v>
      </c>
      <c r="E228" s="8">
        <f t="shared" si="5"/>
        <v>513</v>
      </c>
      <c r="F228" s="8">
        <f t="shared" si="6"/>
        <v>66.69</v>
      </c>
      <c r="G228" s="9">
        <f t="shared" si="7"/>
        <v>2</v>
      </c>
      <c r="H228" s="7" t="str">
        <f t="shared" si="8"/>
        <v>Sep</v>
      </c>
      <c r="I228" s="7">
        <f t="shared" si="9"/>
        <v>9</v>
      </c>
    </row>
    <row r="229">
      <c r="A229" s="6">
        <f t="shared" si="1"/>
        <v>45664</v>
      </c>
      <c r="B229" s="7" t="str">
        <f t="shared" si="2"/>
        <v>Phone</v>
      </c>
      <c r="C229" s="7" t="str">
        <f t="shared" si="3"/>
        <v>Electronics</v>
      </c>
      <c r="D229" s="7" t="str">
        <f t="shared" si="4"/>
        <v>West</v>
      </c>
      <c r="E229" s="8">
        <f t="shared" si="5"/>
        <v>724</v>
      </c>
      <c r="F229" s="8">
        <f t="shared" si="6"/>
        <v>130.32</v>
      </c>
      <c r="G229" s="9">
        <f t="shared" si="7"/>
        <v>9</v>
      </c>
      <c r="H229" s="7" t="str">
        <f t="shared" si="8"/>
        <v>Jan</v>
      </c>
      <c r="I229" s="7">
        <f t="shared" si="9"/>
        <v>1</v>
      </c>
    </row>
    <row r="230">
      <c r="A230" s="6">
        <f t="shared" si="1"/>
        <v>45914</v>
      </c>
      <c r="B230" s="7" t="str">
        <f t="shared" si="2"/>
        <v>Table</v>
      </c>
      <c r="C230" s="7" t="str">
        <f t="shared" si="3"/>
        <v>Furniture</v>
      </c>
      <c r="D230" s="7" t="str">
        <f t="shared" si="4"/>
        <v>North</v>
      </c>
      <c r="E230" s="8">
        <f t="shared" si="5"/>
        <v>723</v>
      </c>
      <c r="F230" s="8">
        <f t="shared" si="6"/>
        <v>202.44</v>
      </c>
      <c r="G230" s="9">
        <f t="shared" si="7"/>
        <v>10</v>
      </c>
      <c r="H230" s="7" t="str">
        <f t="shared" si="8"/>
        <v>Sep</v>
      </c>
      <c r="I230" s="7">
        <f t="shared" si="9"/>
        <v>9</v>
      </c>
    </row>
    <row r="231">
      <c r="A231" s="6">
        <f t="shared" si="1"/>
        <v>45794</v>
      </c>
      <c r="B231" s="7" t="str">
        <f t="shared" si="2"/>
        <v>Monitor</v>
      </c>
      <c r="C231" s="7" t="str">
        <f t="shared" si="3"/>
        <v>Electronics</v>
      </c>
      <c r="D231" s="7" t="str">
        <f t="shared" si="4"/>
        <v>West</v>
      </c>
      <c r="E231" s="8">
        <f t="shared" si="5"/>
        <v>221</v>
      </c>
      <c r="F231" s="8">
        <f t="shared" si="6"/>
        <v>30.94</v>
      </c>
      <c r="G231" s="9">
        <f t="shared" si="7"/>
        <v>3</v>
      </c>
      <c r="H231" s="7" t="str">
        <f t="shared" si="8"/>
        <v>May</v>
      </c>
      <c r="I231" s="7">
        <f t="shared" si="9"/>
        <v>5</v>
      </c>
    </row>
    <row r="232">
      <c r="A232" s="6">
        <f t="shared" si="1"/>
        <v>45948</v>
      </c>
      <c r="B232" s="7" t="str">
        <f t="shared" si="2"/>
        <v>Laptop</v>
      </c>
      <c r="C232" s="7" t="str">
        <f t="shared" si="3"/>
        <v>Electronics</v>
      </c>
      <c r="D232" s="7" t="str">
        <f t="shared" si="4"/>
        <v>South</v>
      </c>
      <c r="E232" s="8">
        <f t="shared" si="5"/>
        <v>707</v>
      </c>
      <c r="F232" s="8">
        <f t="shared" si="6"/>
        <v>91.91</v>
      </c>
      <c r="G232" s="9">
        <f t="shared" si="7"/>
        <v>6</v>
      </c>
      <c r="H232" s="7" t="str">
        <f t="shared" si="8"/>
        <v>Oct</v>
      </c>
      <c r="I232" s="7">
        <f t="shared" si="9"/>
        <v>10</v>
      </c>
    </row>
    <row r="233">
      <c r="A233" s="6">
        <f t="shared" si="1"/>
        <v>45816</v>
      </c>
      <c r="B233" s="7" t="str">
        <f t="shared" si="2"/>
        <v>Laptop</v>
      </c>
      <c r="C233" s="7" t="str">
        <f t="shared" si="3"/>
        <v>Electronics</v>
      </c>
      <c r="D233" s="7" t="str">
        <f t="shared" si="4"/>
        <v>West</v>
      </c>
      <c r="E233" s="8">
        <f t="shared" si="5"/>
        <v>1187</v>
      </c>
      <c r="F233" s="8">
        <f t="shared" si="6"/>
        <v>178.05</v>
      </c>
      <c r="G233" s="9">
        <f t="shared" si="7"/>
        <v>9</v>
      </c>
      <c r="H233" s="7" t="str">
        <f t="shared" si="8"/>
        <v>Jun</v>
      </c>
      <c r="I233" s="7">
        <f t="shared" si="9"/>
        <v>6</v>
      </c>
    </row>
    <row r="234">
      <c r="A234" s="6">
        <f t="shared" si="1"/>
        <v>45886</v>
      </c>
      <c r="B234" s="7" t="str">
        <f t="shared" si="2"/>
        <v>Chair</v>
      </c>
      <c r="C234" s="7" t="str">
        <f t="shared" si="3"/>
        <v>Furniture</v>
      </c>
      <c r="D234" s="7" t="str">
        <f t="shared" si="4"/>
        <v>North</v>
      </c>
      <c r="E234" s="8">
        <f t="shared" si="5"/>
        <v>1903</v>
      </c>
      <c r="F234" s="8">
        <f t="shared" si="6"/>
        <v>494.78</v>
      </c>
      <c r="G234" s="9">
        <f t="shared" si="7"/>
        <v>7</v>
      </c>
      <c r="H234" s="7" t="str">
        <f t="shared" si="8"/>
        <v>Aug</v>
      </c>
      <c r="I234" s="7">
        <f t="shared" si="9"/>
        <v>8</v>
      </c>
    </row>
    <row r="235">
      <c r="A235" s="6">
        <f t="shared" si="1"/>
        <v>45893</v>
      </c>
      <c r="B235" s="7" t="str">
        <f t="shared" si="2"/>
        <v>Chair</v>
      </c>
      <c r="C235" s="7" t="str">
        <f t="shared" si="3"/>
        <v>Furniture</v>
      </c>
      <c r="D235" s="7" t="str">
        <f t="shared" si="4"/>
        <v>West</v>
      </c>
      <c r="E235" s="8">
        <f t="shared" si="5"/>
        <v>641</v>
      </c>
      <c r="F235" s="8">
        <f t="shared" si="6"/>
        <v>160.25</v>
      </c>
      <c r="G235" s="9">
        <f t="shared" si="7"/>
        <v>1</v>
      </c>
      <c r="H235" s="7" t="str">
        <f t="shared" si="8"/>
        <v>Aug</v>
      </c>
      <c r="I235" s="7">
        <f t="shared" si="9"/>
        <v>8</v>
      </c>
    </row>
    <row r="236">
      <c r="A236" s="6">
        <f t="shared" si="1"/>
        <v>45960</v>
      </c>
      <c r="B236" s="7" t="str">
        <f t="shared" si="2"/>
        <v>Phone</v>
      </c>
      <c r="C236" s="7" t="str">
        <f t="shared" si="3"/>
        <v>Electronics</v>
      </c>
      <c r="D236" s="7" t="str">
        <f t="shared" si="4"/>
        <v>South</v>
      </c>
      <c r="E236" s="8">
        <f t="shared" si="5"/>
        <v>1063</v>
      </c>
      <c r="F236" s="8">
        <f t="shared" si="6"/>
        <v>233.86</v>
      </c>
      <c r="G236" s="9">
        <f t="shared" si="7"/>
        <v>9</v>
      </c>
      <c r="H236" s="7" t="str">
        <f t="shared" si="8"/>
        <v>Oct</v>
      </c>
      <c r="I236" s="7">
        <f t="shared" si="9"/>
        <v>10</v>
      </c>
    </row>
    <row r="237">
      <c r="A237" s="6">
        <f t="shared" si="1"/>
        <v>46023</v>
      </c>
      <c r="B237" s="7" t="str">
        <f t="shared" si="2"/>
        <v>Table</v>
      </c>
      <c r="C237" s="7" t="str">
        <f t="shared" si="3"/>
        <v>Furniture</v>
      </c>
      <c r="D237" s="7" t="str">
        <f t="shared" si="4"/>
        <v>West</v>
      </c>
      <c r="E237" s="8">
        <f t="shared" si="5"/>
        <v>484</v>
      </c>
      <c r="F237" s="8">
        <f t="shared" si="6"/>
        <v>145.2</v>
      </c>
      <c r="G237" s="9">
        <f t="shared" si="7"/>
        <v>1</v>
      </c>
      <c r="H237" s="7" t="str">
        <f t="shared" si="8"/>
        <v>Jan</v>
      </c>
      <c r="I237" s="7">
        <f t="shared" si="9"/>
        <v>1</v>
      </c>
    </row>
    <row r="238">
      <c r="A238" s="6">
        <f t="shared" si="1"/>
        <v>45889</v>
      </c>
      <c r="B238" s="7" t="str">
        <f t="shared" si="2"/>
        <v>Chair</v>
      </c>
      <c r="C238" s="7" t="str">
        <f t="shared" si="3"/>
        <v>Furniture</v>
      </c>
      <c r="D238" s="7" t="str">
        <f t="shared" si="4"/>
        <v>East</v>
      </c>
      <c r="E238" s="8">
        <f t="shared" si="5"/>
        <v>448</v>
      </c>
      <c r="F238" s="8">
        <f t="shared" si="6"/>
        <v>85.12</v>
      </c>
      <c r="G238" s="9">
        <f t="shared" si="7"/>
        <v>2</v>
      </c>
      <c r="H238" s="7" t="str">
        <f t="shared" si="8"/>
        <v>Aug</v>
      </c>
      <c r="I238" s="7">
        <f t="shared" si="9"/>
        <v>8</v>
      </c>
    </row>
    <row r="239">
      <c r="A239" s="6">
        <f t="shared" si="1"/>
        <v>45977</v>
      </c>
      <c r="B239" s="7" t="str">
        <f t="shared" si="2"/>
        <v>Laptop</v>
      </c>
      <c r="C239" s="7" t="str">
        <f t="shared" si="3"/>
        <v>Electronics</v>
      </c>
      <c r="D239" s="7" t="str">
        <f t="shared" si="4"/>
        <v>North</v>
      </c>
      <c r="E239" s="8">
        <f t="shared" si="5"/>
        <v>478</v>
      </c>
      <c r="F239" s="8">
        <f t="shared" si="6"/>
        <v>119.5</v>
      </c>
      <c r="G239" s="9">
        <f t="shared" si="7"/>
        <v>9</v>
      </c>
      <c r="H239" s="7" t="str">
        <f t="shared" si="8"/>
        <v>Nov</v>
      </c>
      <c r="I239" s="7">
        <f t="shared" si="9"/>
        <v>11</v>
      </c>
    </row>
    <row r="240">
      <c r="A240" s="6">
        <f t="shared" si="1"/>
        <v>45854</v>
      </c>
      <c r="B240" s="7" t="str">
        <f t="shared" si="2"/>
        <v>Monitor</v>
      </c>
      <c r="C240" s="7" t="str">
        <f t="shared" si="3"/>
        <v>Electronics</v>
      </c>
      <c r="D240" s="7" t="str">
        <f t="shared" si="4"/>
        <v>East</v>
      </c>
      <c r="E240" s="8">
        <f t="shared" si="5"/>
        <v>1287</v>
      </c>
      <c r="F240" s="8">
        <f t="shared" si="6"/>
        <v>231.66</v>
      </c>
      <c r="G240" s="9">
        <f t="shared" si="7"/>
        <v>8</v>
      </c>
      <c r="H240" s="7" t="str">
        <f t="shared" si="8"/>
        <v>Jul</v>
      </c>
      <c r="I240" s="7">
        <f t="shared" si="9"/>
        <v>7</v>
      </c>
    </row>
    <row r="241">
      <c r="A241" s="6">
        <f t="shared" si="1"/>
        <v>45972</v>
      </c>
      <c r="B241" s="7" t="str">
        <f t="shared" si="2"/>
        <v>Laptop</v>
      </c>
      <c r="C241" s="7" t="str">
        <f t="shared" si="3"/>
        <v>Electronics</v>
      </c>
      <c r="D241" s="7" t="str">
        <f t="shared" si="4"/>
        <v>North</v>
      </c>
      <c r="E241" s="8">
        <f t="shared" si="5"/>
        <v>1949</v>
      </c>
      <c r="F241" s="8">
        <f t="shared" si="6"/>
        <v>487.25</v>
      </c>
      <c r="G241" s="9">
        <f t="shared" si="7"/>
        <v>1</v>
      </c>
      <c r="H241" s="7" t="str">
        <f t="shared" si="8"/>
        <v>Nov</v>
      </c>
      <c r="I241" s="7">
        <f t="shared" si="9"/>
        <v>11</v>
      </c>
    </row>
    <row r="242">
      <c r="A242" s="6">
        <f t="shared" si="1"/>
        <v>45983</v>
      </c>
      <c r="B242" s="7" t="str">
        <f t="shared" si="2"/>
        <v>Table</v>
      </c>
      <c r="C242" s="7" t="str">
        <f t="shared" si="3"/>
        <v>Furniture</v>
      </c>
      <c r="D242" s="7" t="str">
        <f t="shared" si="4"/>
        <v>West</v>
      </c>
      <c r="E242" s="8">
        <f t="shared" si="5"/>
        <v>1319</v>
      </c>
      <c r="F242" s="8">
        <f t="shared" si="6"/>
        <v>276.99</v>
      </c>
      <c r="G242" s="9">
        <f t="shared" si="7"/>
        <v>4</v>
      </c>
      <c r="H242" s="7" t="str">
        <f t="shared" si="8"/>
        <v>Nov</v>
      </c>
      <c r="I242" s="7">
        <f t="shared" si="9"/>
        <v>11</v>
      </c>
    </row>
    <row r="243">
      <c r="A243" s="6">
        <f t="shared" si="1"/>
        <v>45911</v>
      </c>
      <c r="B243" s="7" t="str">
        <f t="shared" si="2"/>
        <v>Phone</v>
      </c>
      <c r="C243" s="7" t="str">
        <f t="shared" si="3"/>
        <v>Electronics</v>
      </c>
      <c r="D243" s="7" t="str">
        <f t="shared" si="4"/>
        <v>South</v>
      </c>
      <c r="E243" s="8">
        <f t="shared" si="5"/>
        <v>209</v>
      </c>
      <c r="F243" s="8">
        <f t="shared" si="6"/>
        <v>31.35</v>
      </c>
      <c r="G243" s="9">
        <f t="shared" si="7"/>
        <v>10</v>
      </c>
      <c r="H243" s="7" t="str">
        <f t="shared" si="8"/>
        <v>Sep</v>
      </c>
      <c r="I243" s="7">
        <f t="shared" si="9"/>
        <v>9</v>
      </c>
    </row>
    <row r="244">
      <c r="A244" s="6">
        <f t="shared" si="1"/>
        <v>46021</v>
      </c>
      <c r="B244" s="7" t="str">
        <f t="shared" si="2"/>
        <v>Monitor</v>
      </c>
      <c r="C244" s="7" t="str">
        <f t="shared" si="3"/>
        <v>Electronics</v>
      </c>
      <c r="D244" s="7" t="str">
        <f t="shared" si="4"/>
        <v>East</v>
      </c>
      <c r="E244" s="8">
        <f t="shared" si="5"/>
        <v>1770</v>
      </c>
      <c r="F244" s="8">
        <f t="shared" si="6"/>
        <v>389.4</v>
      </c>
      <c r="G244" s="9">
        <f t="shared" si="7"/>
        <v>10</v>
      </c>
      <c r="H244" s="7" t="str">
        <f t="shared" si="8"/>
        <v>Dec</v>
      </c>
      <c r="I244" s="7">
        <f t="shared" si="9"/>
        <v>12</v>
      </c>
    </row>
    <row r="245">
      <c r="A245" s="6">
        <f t="shared" si="1"/>
        <v>45768</v>
      </c>
      <c r="B245" s="7" t="str">
        <f t="shared" si="2"/>
        <v>Chair</v>
      </c>
      <c r="C245" s="7" t="str">
        <f t="shared" si="3"/>
        <v>Furniture</v>
      </c>
      <c r="D245" s="7" t="str">
        <f t="shared" si="4"/>
        <v>South</v>
      </c>
      <c r="E245" s="8">
        <f t="shared" si="5"/>
        <v>1793</v>
      </c>
      <c r="F245" s="8">
        <f t="shared" si="6"/>
        <v>304.81</v>
      </c>
      <c r="G245" s="9">
        <f t="shared" si="7"/>
        <v>1</v>
      </c>
      <c r="H245" s="7" t="str">
        <f t="shared" si="8"/>
        <v>Apr</v>
      </c>
      <c r="I245" s="7">
        <f t="shared" si="9"/>
        <v>4</v>
      </c>
    </row>
    <row r="246">
      <c r="A246" s="6">
        <f t="shared" si="1"/>
        <v>45718</v>
      </c>
      <c r="B246" s="7" t="str">
        <f t="shared" si="2"/>
        <v>Phone</v>
      </c>
      <c r="C246" s="7" t="str">
        <f t="shared" si="3"/>
        <v>Electronics</v>
      </c>
      <c r="D246" s="7" t="str">
        <f t="shared" si="4"/>
        <v>South</v>
      </c>
      <c r="E246" s="8">
        <f t="shared" si="5"/>
        <v>1308</v>
      </c>
      <c r="F246" s="8">
        <f t="shared" si="6"/>
        <v>261.6</v>
      </c>
      <c r="G246" s="9">
        <f t="shared" si="7"/>
        <v>9</v>
      </c>
      <c r="H246" s="7" t="str">
        <f t="shared" si="8"/>
        <v>Mar</v>
      </c>
      <c r="I246" s="7">
        <f t="shared" si="9"/>
        <v>3</v>
      </c>
    </row>
    <row r="247">
      <c r="A247" s="6">
        <f t="shared" si="1"/>
        <v>45917</v>
      </c>
      <c r="B247" s="7" t="str">
        <f t="shared" si="2"/>
        <v>Chair</v>
      </c>
      <c r="C247" s="7" t="str">
        <f t="shared" si="3"/>
        <v>Furniture</v>
      </c>
      <c r="D247" s="7" t="str">
        <f t="shared" si="4"/>
        <v>South</v>
      </c>
      <c r="E247" s="8">
        <f t="shared" si="5"/>
        <v>1994</v>
      </c>
      <c r="F247" s="8">
        <f t="shared" si="6"/>
        <v>239.28</v>
      </c>
      <c r="G247" s="9">
        <f t="shared" si="7"/>
        <v>10</v>
      </c>
      <c r="H247" s="7" t="str">
        <f t="shared" si="8"/>
        <v>Sep</v>
      </c>
      <c r="I247" s="7">
        <f t="shared" si="9"/>
        <v>9</v>
      </c>
    </row>
    <row r="248">
      <c r="A248" s="6">
        <f t="shared" si="1"/>
        <v>45842</v>
      </c>
      <c r="B248" s="7" t="str">
        <f t="shared" si="2"/>
        <v>Chair</v>
      </c>
      <c r="C248" s="7" t="str">
        <f t="shared" si="3"/>
        <v>Furniture</v>
      </c>
      <c r="D248" s="7" t="str">
        <f t="shared" si="4"/>
        <v>North</v>
      </c>
      <c r="E248" s="8">
        <f t="shared" si="5"/>
        <v>294</v>
      </c>
      <c r="F248" s="8">
        <f t="shared" si="6"/>
        <v>76.44</v>
      </c>
      <c r="G248" s="9">
        <f t="shared" si="7"/>
        <v>3</v>
      </c>
      <c r="H248" s="7" t="str">
        <f t="shared" si="8"/>
        <v>Jul</v>
      </c>
      <c r="I248" s="7">
        <f t="shared" si="9"/>
        <v>7</v>
      </c>
    </row>
    <row r="249">
      <c r="A249" s="6">
        <f t="shared" si="1"/>
        <v>45785</v>
      </c>
      <c r="B249" s="7" t="str">
        <f t="shared" si="2"/>
        <v>Phone</v>
      </c>
      <c r="C249" s="7" t="str">
        <f t="shared" si="3"/>
        <v>Electronics</v>
      </c>
      <c r="D249" s="7" t="str">
        <f t="shared" si="4"/>
        <v>North</v>
      </c>
      <c r="E249" s="8">
        <f t="shared" si="5"/>
        <v>1977</v>
      </c>
      <c r="F249" s="8">
        <f t="shared" si="6"/>
        <v>593.1</v>
      </c>
      <c r="G249" s="9">
        <f t="shared" si="7"/>
        <v>9</v>
      </c>
      <c r="H249" s="7" t="str">
        <f t="shared" si="8"/>
        <v>May</v>
      </c>
      <c r="I249" s="7">
        <f t="shared" si="9"/>
        <v>5</v>
      </c>
    </row>
    <row r="250">
      <c r="A250" s="6">
        <f t="shared" si="1"/>
        <v>45711</v>
      </c>
      <c r="B250" s="7" t="str">
        <f t="shared" si="2"/>
        <v>Monitor</v>
      </c>
      <c r="C250" s="7" t="str">
        <f t="shared" si="3"/>
        <v>Electronics</v>
      </c>
      <c r="D250" s="7" t="str">
        <f t="shared" si="4"/>
        <v>West</v>
      </c>
      <c r="E250" s="8">
        <f t="shared" si="5"/>
        <v>1840</v>
      </c>
      <c r="F250" s="8">
        <f t="shared" si="6"/>
        <v>533.6</v>
      </c>
      <c r="G250" s="9">
        <f t="shared" si="7"/>
        <v>2</v>
      </c>
      <c r="H250" s="7" t="str">
        <f t="shared" si="8"/>
        <v>Feb</v>
      </c>
      <c r="I250" s="7">
        <f t="shared" si="9"/>
        <v>2</v>
      </c>
    </row>
    <row r="251">
      <c r="A251" s="6">
        <f t="shared" si="1"/>
        <v>45686</v>
      </c>
      <c r="B251" s="7" t="str">
        <f t="shared" si="2"/>
        <v>Tablet</v>
      </c>
      <c r="C251" s="7" t="str">
        <f t="shared" si="3"/>
        <v>Electronics</v>
      </c>
      <c r="D251" s="7" t="str">
        <f t="shared" si="4"/>
        <v>South</v>
      </c>
      <c r="E251" s="8">
        <f t="shared" si="5"/>
        <v>1158</v>
      </c>
      <c r="F251" s="8">
        <f t="shared" si="6"/>
        <v>301.08</v>
      </c>
      <c r="G251" s="9">
        <f t="shared" si="7"/>
        <v>10</v>
      </c>
      <c r="H251" s="7" t="str">
        <f t="shared" si="8"/>
        <v>Jan</v>
      </c>
      <c r="I251" s="7">
        <f t="shared" si="9"/>
        <v>1</v>
      </c>
    </row>
    <row r="252">
      <c r="A252" s="6">
        <f t="shared" si="1"/>
        <v>46004</v>
      </c>
      <c r="B252" s="7" t="str">
        <f t="shared" si="2"/>
        <v>Laptop</v>
      </c>
      <c r="C252" s="7" t="str">
        <f t="shared" si="3"/>
        <v>Electronics</v>
      </c>
      <c r="D252" s="7" t="str">
        <f t="shared" si="4"/>
        <v>East</v>
      </c>
      <c r="E252" s="8">
        <f t="shared" si="5"/>
        <v>1038</v>
      </c>
      <c r="F252" s="8">
        <f t="shared" si="6"/>
        <v>134.94</v>
      </c>
      <c r="G252" s="9">
        <f t="shared" si="7"/>
        <v>9</v>
      </c>
      <c r="H252" s="7" t="str">
        <f t="shared" si="8"/>
        <v>Dec</v>
      </c>
      <c r="I252" s="7">
        <f t="shared" si="9"/>
        <v>12</v>
      </c>
    </row>
    <row r="253">
      <c r="A253" s="6">
        <f t="shared" si="1"/>
        <v>45871</v>
      </c>
      <c r="B253" s="7" t="str">
        <f t="shared" si="2"/>
        <v>Monitor</v>
      </c>
      <c r="C253" s="7" t="str">
        <f t="shared" si="3"/>
        <v>Electronics</v>
      </c>
      <c r="D253" s="7" t="str">
        <f t="shared" si="4"/>
        <v>West</v>
      </c>
      <c r="E253" s="8">
        <f t="shared" si="5"/>
        <v>1496</v>
      </c>
      <c r="F253" s="8">
        <f t="shared" si="6"/>
        <v>359.04</v>
      </c>
      <c r="G253" s="9">
        <f t="shared" si="7"/>
        <v>3</v>
      </c>
      <c r="H253" s="7" t="str">
        <f t="shared" si="8"/>
        <v>Aug</v>
      </c>
      <c r="I253" s="7">
        <f t="shared" si="9"/>
        <v>8</v>
      </c>
    </row>
    <row r="254">
      <c r="A254" s="6">
        <f t="shared" si="1"/>
        <v>45971</v>
      </c>
      <c r="B254" s="7" t="str">
        <f t="shared" si="2"/>
        <v>Chair</v>
      </c>
      <c r="C254" s="7" t="str">
        <f t="shared" si="3"/>
        <v>Furniture</v>
      </c>
      <c r="D254" s="7" t="str">
        <f t="shared" si="4"/>
        <v>West</v>
      </c>
      <c r="E254" s="8">
        <f t="shared" si="5"/>
        <v>310</v>
      </c>
      <c r="F254" s="8">
        <f t="shared" si="6"/>
        <v>89.9</v>
      </c>
      <c r="G254" s="9">
        <f t="shared" si="7"/>
        <v>5</v>
      </c>
      <c r="H254" s="7" t="str">
        <f t="shared" si="8"/>
        <v>Nov</v>
      </c>
      <c r="I254" s="7">
        <f t="shared" si="9"/>
        <v>11</v>
      </c>
    </row>
    <row r="255">
      <c r="A255" s="6">
        <f t="shared" si="1"/>
        <v>45916</v>
      </c>
      <c r="B255" s="7" t="str">
        <f t="shared" si="2"/>
        <v>Monitor</v>
      </c>
      <c r="C255" s="7" t="str">
        <f t="shared" si="3"/>
        <v>Electronics</v>
      </c>
      <c r="D255" s="7" t="str">
        <f t="shared" si="4"/>
        <v>South</v>
      </c>
      <c r="E255" s="8">
        <f t="shared" si="5"/>
        <v>270</v>
      </c>
      <c r="F255" s="8">
        <f t="shared" si="6"/>
        <v>70.2</v>
      </c>
      <c r="G255" s="9">
        <f t="shared" si="7"/>
        <v>4</v>
      </c>
      <c r="H255" s="7" t="str">
        <f t="shared" si="8"/>
        <v>Sep</v>
      </c>
      <c r="I255" s="7">
        <f t="shared" si="9"/>
        <v>9</v>
      </c>
    </row>
    <row r="256">
      <c r="A256" s="6">
        <f t="shared" si="1"/>
        <v>45970</v>
      </c>
      <c r="B256" s="7" t="str">
        <f t="shared" si="2"/>
        <v>Chair</v>
      </c>
      <c r="C256" s="7" t="str">
        <f t="shared" si="3"/>
        <v>Furniture</v>
      </c>
      <c r="D256" s="7" t="str">
        <f t="shared" si="4"/>
        <v>East</v>
      </c>
      <c r="E256" s="8">
        <f t="shared" si="5"/>
        <v>1229</v>
      </c>
      <c r="F256" s="8">
        <f t="shared" si="6"/>
        <v>147.48</v>
      </c>
      <c r="G256" s="9">
        <f t="shared" si="7"/>
        <v>4</v>
      </c>
      <c r="H256" s="7" t="str">
        <f t="shared" si="8"/>
        <v>Nov</v>
      </c>
      <c r="I256" s="7">
        <f t="shared" si="9"/>
        <v>11</v>
      </c>
    </row>
    <row r="257">
      <c r="A257" s="6">
        <f t="shared" si="1"/>
        <v>45698</v>
      </c>
      <c r="B257" s="7" t="str">
        <f t="shared" si="2"/>
        <v>Laptop</v>
      </c>
      <c r="C257" s="7" t="str">
        <f t="shared" si="3"/>
        <v>Electronics</v>
      </c>
      <c r="D257" s="7" t="str">
        <f t="shared" si="4"/>
        <v>North</v>
      </c>
      <c r="E257" s="8">
        <f t="shared" si="5"/>
        <v>238</v>
      </c>
      <c r="F257" s="8">
        <f t="shared" si="6"/>
        <v>54.74</v>
      </c>
      <c r="G257" s="9">
        <f t="shared" si="7"/>
        <v>9</v>
      </c>
      <c r="H257" s="7" t="str">
        <f t="shared" si="8"/>
        <v>Feb</v>
      </c>
      <c r="I257" s="7">
        <f t="shared" si="9"/>
        <v>2</v>
      </c>
    </row>
    <row r="258">
      <c r="A258" s="6">
        <f t="shared" si="1"/>
        <v>45770</v>
      </c>
      <c r="B258" s="7" t="str">
        <f t="shared" si="2"/>
        <v>Phone</v>
      </c>
      <c r="C258" s="7" t="str">
        <f t="shared" si="3"/>
        <v>Electronics</v>
      </c>
      <c r="D258" s="7" t="str">
        <f t="shared" si="4"/>
        <v>West</v>
      </c>
      <c r="E258" s="8">
        <f t="shared" si="5"/>
        <v>1725</v>
      </c>
      <c r="F258" s="8">
        <f t="shared" si="6"/>
        <v>396.75</v>
      </c>
      <c r="G258" s="9">
        <f t="shared" si="7"/>
        <v>2</v>
      </c>
      <c r="H258" s="7" t="str">
        <f t="shared" si="8"/>
        <v>Apr</v>
      </c>
      <c r="I258" s="7">
        <f t="shared" si="9"/>
        <v>4</v>
      </c>
    </row>
    <row r="259">
      <c r="A259" s="6">
        <f t="shared" si="1"/>
        <v>45664</v>
      </c>
      <c r="B259" s="7" t="str">
        <f t="shared" si="2"/>
        <v>Chair</v>
      </c>
      <c r="C259" s="7" t="str">
        <f t="shared" si="3"/>
        <v>Furniture</v>
      </c>
      <c r="D259" s="7" t="str">
        <f t="shared" si="4"/>
        <v>West</v>
      </c>
      <c r="E259" s="8">
        <f t="shared" si="5"/>
        <v>1894</v>
      </c>
      <c r="F259" s="8">
        <f t="shared" si="6"/>
        <v>473.5</v>
      </c>
      <c r="G259" s="9">
        <f t="shared" si="7"/>
        <v>8</v>
      </c>
      <c r="H259" s="7" t="str">
        <f t="shared" si="8"/>
        <v>Jan</v>
      </c>
      <c r="I259" s="7">
        <f t="shared" si="9"/>
        <v>1</v>
      </c>
    </row>
    <row r="260">
      <c r="A260" s="6">
        <f t="shared" si="1"/>
        <v>45683</v>
      </c>
      <c r="B260" s="7" t="str">
        <f t="shared" si="2"/>
        <v>Laptop</v>
      </c>
      <c r="C260" s="7" t="str">
        <f t="shared" si="3"/>
        <v>Electronics</v>
      </c>
      <c r="D260" s="7" t="str">
        <f t="shared" si="4"/>
        <v>West</v>
      </c>
      <c r="E260" s="8">
        <f t="shared" si="5"/>
        <v>1482</v>
      </c>
      <c r="F260" s="8">
        <f t="shared" si="6"/>
        <v>237.12</v>
      </c>
      <c r="G260" s="9">
        <f t="shared" si="7"/>
        <v>10</v>
      </c>
      <c r="H260" s="7" t="str">
        <f t="shared" si="8"/>
        <v>Jan</v>
      </c>
      <c r="I260" s="7">
        <f t="shared" si="9"/>
        <v>1</v>
      </c>
    </row>
    <row r="261">
      <c r="A261" s="6">
        <f t="shared" si="1"/>
        <v>45975</v>
      </c>
      <c r="B261" s="7" t="str">
        <f t="shared" si="2"/>
        <v>Monitor</v>
      </c>
      <c r="C261" s="7" t="str">
        <f t="shared" si="3"/>
        <v>Electronics</v>
      </c>
      <c r="D261" s="7" t="str">
        <f t="shared" si="4"/>
        <v>East</v>
      </c>
      <c r="E261" s="8">
        <f t="shared" si="5"/>
        <v>1920</v>
      </c>
      <c r="F261" s="8">
        <f t="shared" si="6"/>
        <v>576</v>
      </c>
      <c r="G261" s="9">
        <f t="shared" si="7"/>
        <v>3</v>
      </c>
      <c r="H261" s="7" t="str">
        <f t="shared" si="8"/>
        <v>Nov</v>
      </c>
      <c r="I261" s="7">
        <f t="shared" si="9"/>
        <v>11</v>
      </c>
    </row>
    <row r="262">
      <c r="A262" s="6">
        <f t="shared" si="1"/>
        <v>45674</v>
      </c>
      <c r="B262" s="7" t="str">
        <f t="shared" si="2"/>
        <v>Monitor</v>
      </c>
      <c r="C262" s="7" t="str">
        <f t="shared" si="3"/>
        <v>Electronics</v>
      </c>
      <c r="D262" s="7" t="str">
        <f t="shared" si="4"/>
        <v>East</v>
      </c>
      <c r="E262" s="8">
        <f t="shared" si="5"/>
        <v>266</v>
      </c>
      <c r="F262" s="8">
        <f t="shared" si="6"/>
        <v>42.56</v>
      </c>
      <c r="G262" s="9">
        <f t="shared" si="7"/>
        <v>3</v>
      </c>
      <c r="H262" s="7" t="str">
        <f t="shared" si="8"/>
        <v>Jan</v>
      </c>
      <c r="I262" s="7">
        <f t="shared" si="9"/>
        <v>1</v>
      </c>
    </row>
    <row r="263">
      <c r="A263" s="6">
        <f t="shared" si="1"/>
        <v>45729</v>
      </c>
      <c r="B263" s="7" t="str">
        <f t="shared" si="2"/>
        <v>Monitor</v>
      </c>
      <c r="C263" s="7" t="str">
        <f t="shared" si="3"/>
        <v>Electronics</v>
      </c>
      <c r="D263" s="7" t="str">
        <f t="shared" si="4"/>
        <v>North</v>
      </c>
      <c r="E263" s="8">
        <f t="shared" si="5"/>
        <v>1270</v>
      </c>
      <c r="F263" s="8">
        <f t="shared" si="6"/>
        <v>355.6</v>
      </c>
      <c r="G263" s="9">
        <f t="shared" si="7"/>
        <v>3</v>
      </c>
      <c r="H263" s="7" t="str">
        <f t="shared" si="8"/>
        <v>Mar</v>
      </c>
      <c r="I263" s="7">
        <f t="shared" si="9"/>
        <v>3</v>
      </c>
    </row>
    <row r="264">
      <c r="A264" s="6">
        <f t="shared" si="1"/>
        <v>45914</v>
      </c>
      <c r="B264" s="7" t="str">
        <f t="shared" si="2"/>
        <v>Monitor</v>
      </c>
      <c r="C264" s="7" t="str">
        <f t="shared" si="3"/>
        <v>Electronics</v>
      </c>
      <c r="D264" s="7" t="str">
        <f t="shared" si="4"/>
        <v>South</v>
      </c>
      <c r="E264" s="8">
        <f t="shared" si="5"/>
        <v>1429</v>
      </c>
      <c r="F264" s="8">
        <f t="shared" si="6"/>
        <v>157.19</v>
      </c>
      <c r="G264" s="9">
        <f t="shared" si="7"/>
        <v>9</v>
      </c>
      <c r="H264" s="7" t="str">
        <f t="shared" si="8"/>
        <v>Sep</v>
      </c>
      <c r="I264" s="7">
        <f t="shared" si="9"/>
        <v>9</v>
      </c>
    </row>
    <row r="265">
      <c r="A265" s="6">
        <f t="shared" si="1"/>
        <v>45785</v>
      </c>
      <c r="B265" s="7" t="str">
        <f t="shared" si="2"/>
        <v>Tablet</v>
      </c>
      <c r="C265" s="7" t="str">
        <f t="shared" si="3"/>
        <v>Electronics</v>
      </c>
      <c r="D265" s="7" t="str">
        <f t="shared" si="4"/>
        <v>West</v>
      </c>
      <c r="E265" s="8">
        <f t="shared" si="5"/>
        <v>1015</v>
      </c>
      <c r="F265" s="8">
        <f t="shared" si="6"/>
        <v>162.4</v>
      </c>
      <c r="G265" s="9">
        <f t="shared" si="7"/>
        <v>3</v>
      </c>
      <c r="H265" s="7" t="str">
        <f t="shared" si="8"/>
        <v>May</v>
      </c>
      <c r="I265" s="7">
        <f t="shared" si="9"/>
        <v>5</v>
      </c>
    </row>
    <row r="266">
      <c r="A266" s="6">
        <f t="shared" si="1"/>
        <v>45895</v>
      </c>
      <c r="B266" s="7" t="str">
        <f t="shared" si="2"/>
        <v>Laptop</v>
      </c>
      <c r="C266" s="7" t="str">
        <f t="shared" si="3"/>
        <v>Electronics</v>
      </c>
      <c r="D266" s="7" t="str">
        <f t="shared" si="4"/>
        <v>West</v>
      </c>
      <c r="E266" s="8">
        <f t="shared" si="5"/>
        <v>388</v>
      </c>
      <c r="F266" s="8">
        <f t="shared" si="6"/>
        <v>73.72</v>
      </c>
      <c r="G266" s="9">
        <f t="shared" si="7"/>
        <v>10</v>
      </c>
      <c r="H266" s="7" t="str">
        <f t="shared" si="8"/>
        <v>Aug</v>
      </c>
      <c r="I266" s="7">
        <f t="shared" si="9"/>
        <v>8</v>
      </c>
    </row>
    <row r="267">
      <c r="A267" s="6">
        <f t="shared" si="1"/>
        <v>45931</v>
      </c>
      <c r="B267" s="7" t="str">
        <f t="shared" si="2"/>
        <v>Monitor</v>
      </c>
      <c r="C267" s="7" t="str">
        <f t="shared" si="3"/>
        <v>Electronics</v>
      </c>
      <c r="D267" s="7" t="str">
        <f t="shared" si="4"/>
        <v>West</v>
      </c>
      <c r="E267" s="8">
        <f t="shared" si="5"/>
        <v>622</v>
      </c>
      <c r="F267" s="8">
        <f t="shared" si="6"/>
        <v>136.84</v>
      </c>
      <c r="G267" s="9">
        <f t="shared" si="7"/>
        <v>7</v>
      </c>
      <c r="H267" s="7" t="str">
        <f t="shared" si="8"/>
        <v>Oct</v>
      </c>
      <c r="I267" s="7">
        <f t="shared" si="9"/>
        <v>10</v>
      </c>
    </row>
    <row r="268">
      <c r="A268" s="6">
        <f t="shared" si="1"/>
        <v>45729</v>
      </c>
      <c r="B268" s="7" t="str">
        <f t="shared" si="2"/>
        <v>Chair</v>
      </c>
      <c r="C268" s="7" t="str">
        <f t="shared" si="3"/>
        <v>Furniture</v>
      </c>
      <c r="D268" s="7" t="str">
        <f t="shared" si="4"/>
        <v>North</v>
      </c>
      <c r="E268" s="8">
        <f t="shared" si="5"/>
        <v>599</v>
      </c>
      <c r="F268" s="8">
        <f t="shared" si="6"/>
        <v>161.73</v>
      </c>
      <c r="G268" s="9">
        <f t="shared" si="7"/>
        <v>4</v>
      </c>
      <c r="H268" s="7" t="str">
        <f t="shared" si="8"/>
        <v>Mar</v>
      </c>
      <c r="I268" s="7">
        <f t="shared" si="9"/>
        <v>3</v>
      </c>
    </row>
    <row r="269">
      <c r="A269" s="6">
        <f t="shared" si="1"/>
        <v>45738</v>
      </c>
      <c r="B269" s="7" t="str">
        <f t="shared" si="2"/>
        <v>Chair</v>
      </c>
      <c r="C269" s="7" t="str">
        <f t="shared" si="3"/>
        <v>Furniture</v>
      </c>
      <c r="D269" s="7" t="str">
        <f t="shared" si="4"/>
        <v>South</v>
      </c>
      <c r="E269" s="8">
        <f t="shared" si="5"/>
        <v>866</v>
      </c>
      <c r="F269" s="8">
        <f t="shared" si="6"/>
        <v>242.48</v>
      </c>
      <c r="G269" s="9">
        <f t="shared" si="7"/>
        <v>3</v>
      </c>
      <c r="H269" s="7" t="str">
        <f t="shared" si="8"/>
        <v>Mar</v>
      </c>
      <c r="I269" s="7">
        <f t="shared" si="9"/>
        <v>3</v>
      </c>
    </row>
    <row r="270">
      <c r="A270" s="6">
        <f t="shared" si="1"/>
        <v>45797</v>
      </c>
      <c r="B270" s="7" t="str">
        <f t="shared" si="2"/>
        <v>Monitor</v>
      </c>
      <c r="C270" s="7" t="str">
        <f t="shared" si="3"/>
        <v>Electronics</v>
      </c>
      <c r="D270" s="7" t="str">
        <f t="shared" si="4"/>
        <v>South</v>
      </c>
      <c r="E270" s="8">
        <f t="shared" si="5"/>
        <v>1935</v>
      </c>
      <c r="F270" s="8">
        <f t="shared" si="6"/>
        <v>193.5</v>
      </c>
      <c r="G270" s="9">
        <f t="shared" si="7"/>
        <v>7</v>
      </c>
      <c r="H270" s="7" t="str">
        <f t="shared" si="8"/>
        <v>May</v>
      </c>
      <c r="I270" s="7">
        <f t="shared" si="9"/>
        <v>5</v>
      </c>
    </row>
    <row r="271">
      <c r="A271" s="6">
        <f t="shared" si="1"/>
        <v>45772</v>
      </c>
      <c r="B271" s="7" t="str">
        <f t="shared" si="2"/>
        <v>Phone</v>
      </c>
      <c r="C271" s="7" t="str">
        <f t="shared" si="3"/>
        <v>Electronics</v>
      </c>
      <c r="D271" s="7" t="str">
        <f t="shared" si="4"/>
        <v>South</v>
      </c>
      <c r="E271" s="8">
        <f t="shared" si="5"/>
        <v>571</v>
      </c>
      <c r="F271" s="8">
        <f t="shared" si="6"/>
        <v>74.23</v>
      </c>
      <c r="G271" s="9">
        <f t="shared" si="7"/>
        <v>7</v>
      </c>
      <c r="H271" s="7" t="str">
        <f t="shared" si="8"/>
        <v>Apr</v>
      </c>
      <c r="I271" s="7">
        <f t="shared" si="9"/>
        <v>4</v>
      </c>
    </row>
    <row r="272">
      <c r="A272" s="6">
        <f t="shared" si="1"/>
        <v>45961</v>
      </c>
      <c r="B272" s="7" t="str">
        <f t="shared" si="2"/>
        <v>Table</v>
      </c>
      <c r="C272" s="7" t="str">
        <f t="shared" si="3"/>
        <v>Furniture</v>
      </c>
      <c r="D272" s="7" t="str">
        <f t="shared" si="4"/>
        <v>West</v>
      </c>
      <c r="E272" s="8">
        <f t="shared" si="5"/>
        <v>475</v>
      </c>
      <c r="F272" s="8">
        <f t="shared" si="6"/>
        <v>80.75</v>
      </c>
      <c r="G272" s="9">
        <f t="shared" si="7"/>
        <v>10</v>
      </c>
      <c r="H272" s="7" t="str">
        <f t="shared" si="8"/>
        <v>Oct</v>
      </c>
      <c r="I272" s="7">
        <f t="shared" si="9"/>
        <v>10</v>
      </c>
    </row>
    <row r="273">
      <c r="A273" s="6">
        <f t="shared" si="1"/>
        <v>45697</v>
      </c>
      <c r="B273" s="7" t="str">
        <f t="shared" si="2"/>
        <v>Monitor</v>
      </c>
      <c r="C273" s="7" t="str">
        <f t="shared" si="3"/>
        <v>Electronics</v>
      </c>
      <c r="D273" s="7" t="str">
        <f t="shared" si="4"/>
        <v>South</v>
      </c>
      <c r="E273" s="8">
        <f t="shared" si="5"/>
        <v>651</v>
      </c>
      <c r="F273" s="8">
        <f t="shared" si="6"/>
        <v>175.77</v>
      </c>
      <c r="G273" s="9">
        <f t="shared" si="7"/>
        <v>5</v>
      </c>
      <c r="H273" s="7" t="str">
        <f t="shared" si="8"/>
        <v>Feb</v>
      </c>
      <c r="I273" s="7">
        <f t="shared" si="9"/>
        <v>2</v>
      </c>
    </row>
    <row r="274">
      <c r="A274" s="6">
        <f t="shared" si="1"/>
        <v>45715</v>
      </c>
      <c r="B274" s="7" t="str">
        <f t="shared" si="2"/>
        <v>Monitor</v>
      </c>
      <c r="C274" s="7" t="str">
        <f t="shared" si="3"/>
        <v>Electronics</v>
      </c>
      <c r="D274" s="7" t="str">
        <f t="shared" si="4"/>
        <v>West</v>
      </c>
      <c r="E274" s="8">
        <f t="shared" si="5"/>
        <v>1945</v>
      </c>
      <c r="F274" s="8">
        <f t="shared" si="6"/>
        <v>252.85</v>
      </c>
      <c r="G274" s="9">
        <f t="shared" si="7"/>
        <v>1</v>
      </c>
      <c r="H274" s="7" t="str">
        <f t="shared" si="8"/>
        <v>Feb</v>
      </c>
      <c r="I274" s="7">
        <f t="shared" si="9"/>
        <v>2</v>
      </c>
    </row>
    <row r="275">
      <c r="A275" s="6">
        <f t="shared" si="1"/>
        <v>45870</v>
      </c>
      <c r="B275" s="7" t="str">
        <f t="shared" si="2"/>
        <v>Tablet</v>
      </c>
      <c r="C275" s="7" t="str">
        <f t="shared" si="3"/>
        <v>Electronics</v>
      </c>
      <c r="D275" s="7" t="str">
        <f t="shared" si="4"/>
        <v>South</v>
      </c>
      <c r="E275" s="8">
        <f t="shared" si="5"/>
        <v>351</v>
      </c>
      <c r="F275" s="8">
        <f t="shared" si="6"/>
        <v>52.65</v>
      </c>
      <c r="G275" s="9">
        <f t="shared" si="7"/>
        <v>1</v>
      </c>
      <c r="H275" s="7" t="str">
        <f t="shared" si="8"/>
        <v>Aug</v>
      </c>
      <c r="I275" s="7">
        <f t="shared" si="9"/>
        <v>8</v>
      </c>
    </row>
    <row r="276">
      <c r="A276" s="6">
        <f t="shared" si="1"/>
        <v>45870</v>
      </c>
      <c r="B276" s="7" t="str">
        <f t="shared" si="2"/>
        <v>Monitor</v>
      </c>
      <c r="C276" s="7" t="str">
        <f t="shared" si="3"/>
        <v>Electronics</v>
      </c>
      <c r="D276" s="7" t="str">
        <f t="shared" si="4"/>
        <v>North</v>
      </c>
      <c r="E276" s="8">
        <f t="shared" si="5"/>
        <v>1792</v>
      </c>
      <c r="F276" s="8">
        <f t="shared" si="6"/>
        <v>232.96</v>
      </c>
      <c r="G276" s="9">
        <f t="shared" si="7"/>
        <v>10</v>
      </c>
      <c r="H276" s="7" t="str">
        <f t="shared" si="8"/>
        <v>Aug</v>
      </c>
      <c r="I276" s="7">
        <f t="shared" si="9"/>
        <v>8</v>
      </c>
    </row>
    <row r="277">
      <c r="A277" s="6">
        <f t="shared" si="1"/>
        <v>45786</v>
      </c>
      <c r="B277" s="7" t="str">
        <f t="shared" si="2"/>
        <v>Chair</v>
      </c>
      <c r="C277" s="7" t="str">
        <f t="shared" si="3"/>
        <v>Furniture</v>
      </c>
      <c r="D277" s="7" t="str">
        <f t="shared" si="4"/>
        <v>East</v>
      </c>
      <c r="E277" s="8">
        <f t="shared" si="5"/>
        <v>1702</v>
      </c>
      <c r="F277" s="8">
        <f t="shared" si="6"/>
        <v>493.58</v>
      </c>
      <c r="G277" s="9">
        <f t="shared" si="7"/>
        <v>2</v>
      </c>
      <c r="H277" s="7" t="str">
        <f t="shared" si="8"/>
        <v>May</v>
      </c>
      <c r="I277" s="7">
        <f t="shared" si="9"/>
        <v>5</v>
      </c>
    </row>
    <row r="278">
      <c r="A278" s="6">
        <f t="shared" si="1"/>
        <v>45909</v>
      </c>
      <c r="B278" s="7" t="str">
        <f t="shared" si="2"/>
        <v>Phone</v>
      </c>
      <c r="C278" s="7" t="str">
        <f t="shared" si="3"/>
        <v>Electronics</v>
      </c>
      <c r="D278" s="7" t="str">
        <f t="shared" si="4"/>
        <v>East</v>
      </c>
      <c r="E278" s="8">
        <f t="shared" si="5"/>
        <v>945</v>
      </c>
      <c r="F278" s="8">
        <f t="shared" si="6"/>
        <v>207.9</v>
      </c>
      <c r="G278" s="9">
        <f t="shared" si="7"/>
        <v>5</v>
      </c>
      <c r="H278" s="7" t="str">
        <f t="shared" si="8"/>
        <v>Sep</v>
      </c>
      <c r="I278" s="7">
        <f t="shared" si="9"/>
        <v>9</v>
      </c>
    </row>
    <row r="279">
      <c r="A279" s="6">
        <f t="shared" si="1"/>
        <v>45787</v>
      </c>
      <c r="B279" s="7" t="str">
        <f t="shared" si="2"/>
        <v>Monitor</v>
      </c>
      <c r="C279" s="7" t="str">
        <f t="shared" si="3"/>
        <v>Electronics</v>
      </c>
      <c r="D279" s="7" t="str">
        <f t="shared" si="4"/>
        <v>South</v>
      </c>
      <c r="E279" s="8">
        <f t="shared" si="5"/>
        <v>1227</v>
      </c>
      <c r="F279" s="8">
        <f t="shared" si="6"/>
        <v>184.05</v>
      </c>
      <c r="G279" s="9">
        <f t="shared" si="7"/>
        <v>1</v>
      </c>
      <c r="H279" s="7" t="str">
        <f t="shared" si="8"/>
        <v>May</v>
      </c>
      <c r="I279" s="7">
        <f t="shared" si="9"/>
        <v>5</v>
      </c>
    </row>
    <row r="280">
      <c r="A280" s="6">
        <f t="shared" si="1"/>
        <v>45781</v>
      </c>
      <c r="B280" s="7" t="str">
        <f t="shared" si="2"/>
        <v>Laptop</v>
      </c>
      <c r="C280" s="7" t="str">
        <f t="shared" si="3"/>
        <v>Electronics</v>
      </c>
      <c r="D280" s="7" t="str">
        <f t="shared" si="4"/>
        <v>West</v>
      </c>
      <c r="E280" s="8">
        <f t="shared" si="5"/>
        <v>570</v>
      </c>
      <c r="F280" s="8">
        <f t="shared" si="6"/>
        <v>62.7</v>
      </c>
      <c r="G280" s="9">
        <f t="shared" si="7"/>
        <v>3</v>
      </c>
      <c r="H280" s="7" t="str">
        <f t="shared" si="8"/>
        <v>May</v>
      </c>
      <c r="I280" s="7">
        <f t="shared" si="9"/>
        <v>5</v>
      </c>
    </row>
    <row r="281">
      <c r="A281" s="6">
        <f t="shared" si="1"/>
        <v>45817</v>
      </c>
      <c r="B281" s="7" t="str">
        <f t="shared" si="2"/>
        <v>Monitor</v>
      </c>
      <c r="C281" s="7" t="str">
        <f t="shared" si="3"/>
        <v>Electronics</v>
      </c>
      <c r="D281" s="7" t="str">
        <f t="shared" si="4"/>
        <v>West</v>
      </c>
      <c r="E281" s="8">
        <f t="shared" si="5"/>
        <v>1257</v>
      </c>
      <c r="F281" s="8">
        <f t="shared" si="6"/>
        <v>364.53</v>
      </c>
      <c r="G281" s="9">
        <f t="shared" si="7"/>
        <v>7</v>
      </c>
      <c r="H281" s="7" t="str">
        <f t="shared" si="8"/>
        <v>Jun</v>
      </c>
      <c r="I281" s="7">
        <f t="shared" si="9"/>
        <v>6</v>
      </c>
    </row>
    <row r="282">
      <c r="A282" s="6">
        <f t="shared" si="1"/>
        <v>45725</v>
      </c>
      <c r="B282" s="7" t="str">
        <f t="shared" si="2"/>
        <v>Table</v>
      </c>
      <c r="C282" s="7" t="str">
        <f t="shared" si="3"/>
        <v>Furniture</v>
      </c>
      <c r="D282" s="7" t="str">
        <f t="shared" si="4"/>
        <v>West</v>
      </c>
      <c r="E282" s="8">
        <f t="shared" si="5"/>
        <v>1068</v>
      </c>
      <c r="F282" s="8">
        <f t="shared" si="6"/>
        <v>256.32</v>
      </c>
      <c r="G282" s="9">
        <f t="shared" si="7"/>
        <v>9</v>
      </c>
      <c r="H282" s="7" t="str">
        <f t="shared" si="8"/>
        <v>Mar</v>
      </c>
      <c r="I282" s="7">
        <f t="shared" si="9"/>
        <v>3</v>
      </c>
    </row>
    <row r="283">
      <c r="A283" s="6">
        <f t="shared" si="1"/>
        <v>45965</v>
      </c>
      <c r="B283" s="7" t="str">
        <f t="shared" si="2"/>
        <v>Monitor</v>
      </c>
      <c r="C283" s="7" t="str">
        <f t="shared" si="3"/>
        <v>Electronics</v>
      </c>
      <c r="D283" s="7" t="str">
        <f t="shared" si="4"/>
        <v>West</v>
      </c>
      <c r="E283" s="8">
        <f t="shared" si="5"/>
        <v>1002</v>
      </c>
      <c r="F283" s="8">
        <f t="shared" si="6"/>
        <v>190.38</v>
      </c>
      <c r="G283" s="9">
        <f t="shared" si="7"/>
        <v>8</v>
      </c>
      <c r="H283" s="7" t="str">
        <f t="shared" si="8"/>
        <v>Nov</v>
      </c>
      <c r="I283" s="7">
        <f t="shared" si="9"/>
        <v>11</v>
      </c>
    </row>
    <row r="284">
      <c r="A284" s="6">
        <f t="shared" si="1"/>
        <v>45902</v>
      </c>
      <c r="B284" s="7" t="str">
        <f t="shared" si="2"/>
        <v>Chair</v>
      </c>
      <c r="C284" s="7" t="str">
        <f t="shared" si="3"/>
        <v>Furniture</v>
      </c>
      <c r="D284" s="7" t="str">
        <f t="shared" si="4"/>
        <v>South</v>
      </c>
      <c r="E284" s="8">
        <f t="shared" si="5"/>
        <v>1694</v>
      </c>
      <c r="F284" s="8">
        <f t="shared" si="6"/>
        <v>169.4</v>
      </c>
      <c r="G284" s="9">
        <f t="shared" si="7"/>
        <v>4</v>
      </c>
      <c r="H284" s="7" t="str">
        <f t="shared" si="8"/>
        <v>Sep</v>
      </c>
      <c r="I284" s="7">
        <f t="shared" si="9"/>
        <v>9</v>
      </c>
    </row>
    <row r="285">
      <c r="A285" s="6">
        <f t="shared" si="1"/>
        <v>45789</v>
      </c>
      <c r="B285" s="7" t="str">
        <f t="shared" si="2"/>
        <v>Phone</v>
      </c>
      <c r="C285" s="7" t="str">
        <f t="shared" si="3"/>
        <v>Electronics</v>
      </c>
      <c r="D285" s="7" t="str">
        <f t="shared" si="4"/>
        <v>North</v>
      </c>
      <c r="E285" s="8">
        <f t="shared" si="5"/>
        <v>658</v>
      </c>
      <c r="F285" s="8">
        <f t="shared" si="6"/>
        <v>65.8</v>
      </c>
      <c r="G285" s="9">
        <f t="shared" si="7"/>
        <v>6</v>
      </c>
      <c r="H285" s="7" t="str">
        <f t="shared" si="8"/>
        <v>May</v>
      </c>
      <c r="I285" s="7">
        <f t="shared" si="9"/>
        <v>5</v>
      </c>
    </row>
    <row r="286">
      <c r="A286" s="6">
        <f t="shared" si="1"/>
        <v>45751</v>
      </c>
      <c r="B286" s="7" t="str">
        <f t="shared" si="2"/>
        <v>Chair</v>
      </c>
      <c r="C286" s="7" t="str">
        <f t="shared" si="3"/>
        <v>Furniture</v>
      </c>
      <c r="D286" s="7" t="str">
        <f t="shared" si="4"/>
        <v>South</v>
      </c>
      <c r="E286" s="8">
        <f t="shared" si="5"/>
        <v>510</v>
      </c>
      <c r="F286" s="8">
        <f t="shared" si="6"/>
        <v>56.1</v>
      </c>
      <c r="G286" s="9">
        <f t="shared" si="7"/>
        <v>5</v>
      </c>
      <c r="H286" s="7" t="str">
        <f t="shared" si="8"/>
        <v>Apr</v>
      </c>
      <c r="I286" s="7">
        <f t="shared" si="9"/>
        <v>4</v>
      </c>
    </row>
    <row r="287">
      <c r="A287" s="6">
        <f t="shared" si="1"/>
        <v>45801</v>
      </c>
      <c r="B287" s="7" t="str">
        <f t="shared" si="2"/>
        <v>Table</v>
      </c>
      <c r="C287" s="7" t="str">
        <f t="shared" si="3"/>
        <v>Furniture</v>
      </c>
      <c r="D287" s="7" t="str">
        <f t="shared" si="4"/>
        <v>West</v>
      </c>
      <c r="E287" s="8">
        <f t="shared" si="5"/>
        <v>553</v>
      </c>
      <c r="F287" s="8">
        <f t="shared" si="6"/>
        <v>110.6</v>
      </c>
      <c r="G287" s="9">
        <f t="shared" si="7"/>
        <v>7</v>
      </c>
      <c r="H287" s="7" t="str">
        <f t="shared" si="8"/>
        <v>May</v>
      </c>
      <c r="I287" s="7">
        <f t="shared" si="9"/>
        <v>5</v>
      </c>
    </row>
    <row r="288">
      <c r="A288" s="6">
        <f t="shared" si="1"/>
        <v>46001</v>
      </c>
      <c r="B288" s="7" t="str">
        <f t="shared" si="2"/>
        <v>Laptop</v>
      </c>
      <c r="C288" s="7" t="str">
        <f t="shared" si="3"/>
        <v>Electronics</v>
      </c>
      <c r="D288" s="7" t="str">
        <f t="shared" si="4"/>
        <v>East</v>
      </c>
      <c r="E288" s="8">
        <f t="shared" si="5"/>
        <v>1878</v>
      </c>
      <c r="F288" s="8">
        <f t="shared" si="6"/>
        <v>563.4</v>
      </c>
      <c r="G288" s="9">
        <f t="shared" si="7"/>
        <v>4</v>
      </c>
      <c r="H288" s="7" t="str">
        <f t="shared" si="8"/>
        <v>Dec</v>
      </c>
      <c r="I288" s="7">
        <f t="shared" si="9"/>
        <v>12</v>
      </c>
    </row>
    <row r="289">
      <c r="A289" s="6">
        <f t="shared" si="1"/>
        <v>45693</v>
      </c>
      <c r="B289" s="7" t="str">
        <f t="shared" si="2"/>
        <v>Table</v>
      </c>
      <c r="C289" s="7" t="str">
        <f t="shared" si="3"/>
        <v>Furniture</v>
      </c>
      <c r="D289" s="7" t="str">
        <f t="shared" si="4"/>
        <v>North</v>
      </c>
      <c r="E289" s="8">
        <f t="shared" si="5"/>
        <v>1512</v>
      </c>
      <c r="F289" s="8">
        <f t="shared" si="6"/>
        <v>181.44</v>
      </c>
      <c r="G289" s="9">
        <f t="shared" si="7"/>
        <v>1</v>
      </c>
      <c r="H289" s="7" t="str">
        <f t="shared" si="8"/>
        <v>Feb</v>
      </c>
      <c r="I289" s="7">
        <f t="shared" si="9"/>
        <v>2</v>
      </c>
    </row>
    <row r="290">
      <c r="A290" s="6">
        <f t="shared" si="1"/>
        <v>45923</v>
      </c>
      <c r="B290" s="7" t="str">
        <f t="shared" si="2"/>
        <v>Chair</v>
      </c>
      <c r="C290" s="7" t="str">
        <f t="shared" si="3"/>
        <v>Furniture</v>
      </c>
      <c r="D290" s="7" t="str">
        <f t="shared" si="4"/>
        <v>South</v>
      </c>
      <c r="E290" s="8">
        <f t="shared" si="5"/>
        <v>202</v>
      </c>
      <c r="F290" s="8">
        <f t="shared" si="6"/>
        <v>52.52</v>
      </c>
      <c r="G290" s="9">
        <f t="shared" si="7"/>
        <v>8</v>
      </c>
      <c r="H290" s="7" t="str">
        <f t="shared" si="8"/>
        <v>Sep</v>
      </c>
      <c r="I290" s="7">
        <f t="shared" si="9"/>
        <v>9</v>
      </c>
    </row>
    <row r="291">
      <c r="A291" s="6">
        <f t="shared" si="1"/>
        <v>45686</v>
      </c>
      <c r="B291" s="7" t="str">
        <f t="shared" si="2"/>
        <v>Table</v>
      </c>
      <c r="C291" s="7" t="str">
        <f t="shared" si="3"/>
        <v>Furniture</v>
      </c>
      <c r="D291" s="7" t="str">
        <f t="shared" si="4"/>
        <v>North</v>
      </c>
      <c r="E291" s="8">
        <f t="shared" si="5"/>
        <v>911</v>
      </c>
      <c r="F291" s="8">
        <f t="shared" si="6"/>
        <v>264.19</v>
      </c>
      <c r="G291" s="9">
        <f t="shared" si="7"/>
        <v>6</v>
      </c>
      <c r="H291" s="7" t="str">
        <f t="shared" si="8"/>
        <v>Jan</v>
      </c>
      <c r="I291" s="7">
        <f t="shared" si="9"/>
        <v>1</v>
      </c>
    </row>
    <row r="292">
      <c r="A292" s="6">
        <f t="shared" si="1"/>
        <v>45795</v>
      </c>
      <c r="B292" s="7" t="str">
        <f t="shared" si="2"/>
        <v>Chair</v>
      </c>
      <c r="C292" s="7" t="str">
        <f t="shared" si="3"/>
        <v>Furniture</v>
      </c>
      <c r="D292" s="7" t="str">
        <f t="shared" si="4"/>
        <v>East</v>
      </c>
      <c r="E292" s="8">
        <f t="shared" si="5"/>
        <v>234</v>
      </c>
      <c r="F292" s="8">
        <f t="shared" si="6"/>
        <v>44.46</v>
      </c>
      <c r="G292" s="9">
        <f t="shared" si="7"/>
        <v>10</v>
      </c>
      <c r="H292" s="7" t="str">
        <f t="shared" si="8"/>
        <v>May</v>
      </c>
      <c r="I292" s="7">
        <f t="shared" si="9"/>
        <v>5</v>
      </c>
    </row>
    <row r="293">
      <c r="A293" s="6">
        <f t="shared" si="1"/>
        <v>45685</v>
      </c>
      <c r="B293" s="7" t="str">
        <f t="shared" si="2"/>
        <v>Monitor</v>
      </c>
      <c r="C293" s="7" t="str">
        <f t="shared" si="3"/>
        <v>Electronics</v>
      </c>
      <c r="D293" s="7" t="str">
        <f t="shared" si="4"/>
        <v>West</v>
      </c>
      <c r="E293" s="8">
        <f t="shared" si="5"/>
        <v>754</v>
      </c>
      <c r="F293" s="8">
        <f t="shared" si="6"/>
        <v>90.48</v>
      </c>
      <c r="G293" s="9">
        <f t="shared" si="7"/>
        <v>10</v>
      </c>
      <c r="H293" s="7" t="str">
        <f t="shared" si="8"/>
        <v>Jan</v>
      </c>
      <c r="I293" s="7">
        <f t="shared" si="9"/>
        <v>1</v>
      </c>
    </row>
    <row r="294">
      <c r="A294" s="6">
        <f t="shared" si="1"/>
        <v>45998</v>
      </c>
      <c r="B294" s="7" t="str">
        <f t="shared" si="2"/>
        <v>Laptop</v>
      </c>
      <c r="C294" s="7" t="str">
        <f t="shared" si="3"/>
        <v>Electronics</v>
      </c>
      <c r="D294" s="7" t="str">
        <f t="shared" si="4"/>
        <v>West</v>
      </c>
      <c r="E294" s="8">
        <f t="shared" si="5"/>
        <v>931</v>
      </c>
      <c r="F294" s="8">
        <f t="shared" si="6"/>
        <v>139.65</v>
      </c>
      <c r="G294" s="9">
        <f t="shared" si="7"/>
        <v>5</v>
      </c>
      <c r="H294" s="7" t="str">
        <f t="shared" si="8"/>
        <v>Dec</v>
      </c>
      <c r="I294" s="7">
        <f t="shared" si="9"/>
        <v>12</v>
      </c>
    </row>
    <row r="295">
      <c r="A295" s="6">
        <f t="shared" si="1"/>
        <v>45921</v>
      </c>
      <c r="B295" s="7" t="str">
        <f t="shared" si="2"/>
        <v>Tablet</v>
      </c>
      <c r="C295" s="7" t="str">
        <f t="shared" si="3"/>
        <v>Electronics</v>
      </c>
      <c r="D295" s="7" t="str">
        <f t="shared" si="4"/>
        <v>North</v>
      </c>
      <c r="E295" s="8">
        <f t="shared" si="5"/>
        <v>777</v>
      </c>
      <c r="F295" s="8">
        <f t="shared" si="6"/>
        <v>124.32</v>
      </c>
      <c r="G295" s="9">
        <f t="shared" si="7"/>
        <v>9</v>
      </c>
      <c r="H295" s="7" t="str">
        <f t="shared" si="8"/>
        <v>Sep</v>
      </c>
      <c r="I295" s="7">
        <f t="shared" si="9"/>
        <v>9</v>
      </c>
    </row>
    <row r="296">
      <c r="A296" s="6">
        <f t="shared" si="1"/>
        <v>45943</v>
      </c>
      <c r="B296" s="7" t="str">
        <f t="shared" si="2"/>
        <v>Phone</v>
      </c>
      <c r="C296" s="7" t="str">
        <f t="shared" si="3"/>
        <v>Electronics</v>
      </c>
      <c r="D296" s="7" t="str">
        <f t="shared" si="4"/>
        <v>East</v>
      </c>
      <c r="E296" s="8">
        <f t="shared" si="5"/>
        <v>1663</v>
      </c>
      <c r="F296" s="8">
        <f t="shared" si="6"/>
        <v>216.19</v>
      </c>
      <c r="G296" s="9">
        <f t="shared" si="7"/>
        <v>1</v>
      </c>
      <c r="H296" s="7" t="str">
        <f t="shared" si="8"/>
        <v>Oct</v>
      </c>
      <c r="I296" s="7">
        <f t="shared" si="9"/>
        <v>10</v>
      </c>
    </row>
    <row r="297">
      <c r="A297" s="6">
        <f t="shared" si="1"/>
        <v>45817</v>
      </c>
      <c r="B297" s="7" t="str">
        <f t="shared" si="2"/>
        <v>Table</v>
      </c>
      <c r="C297" s="7" t="str">
        <f t="shared" si="3"/>
        <v>Furniture</v>
      </c>
      <c r="D297" s="7" t="str">
        <f t="shared" si="4"/>
        <v>North</v>
      </c>
      <c r="E297" s="8">
        <f t="shared" si="5"/>
        <v>1617</v>
      </c>
      <c r="F297" s="8">
        <f t="shared" si="6"/>
        <v>226.38</v>
      </c>
      <c r="G297" s="9">
        <f t="shared" si="7"/>
        <v>10</v>
      </c>
      <c r="H297" s="7" t="str">
        <f t="shared" si="8"/>
        <v>Jun</v>
      </c>
      <c r="I297" s="7">
        <f t="shared" si="9"/>
        <v>6</v>
      </c>
    </row>
    <row r="298">
      <c r="A298" s="6">
        <f t="shared" si="1"/>
        <v>45913</v>
      </c>
      <c r="B298" s="7" t="str">
        <f t="shared" si="2"/>
        <v>Table</v>
      </c>
      <c r="C298" s="7" t="str">
        <f t="shared" si="3"/>
        <v>Furniture</v>
      </c>
      <c r="D298" s="7" t="str">
        <f t="shared" si="4"/>
        <v>South</v>
      </c>
      <c r="E298" s="8">
        <f t="shared" si="5"/>
        <v>1334</v>
      </c>
      <c r="F298" s="8">
        <f t="shared" si="6"/>
        <v>146.74</v>
      </c>
      <c r="G298" s="9">
        <f t="shared" si="7"/>
        <v>8</v>
      </c>
      <c r="H298" s="7" t="str">
        <f t="shared" si="8"/>
        <v>Sep</v>
      </c>
      <c r="I298" s="7">
        <f t="shared" si="9"/>
        <v>9</v>
      </c>
    </row>
    <row r="299">
      <c r="A299" s="6">
        <f t="shared" si="1"/>
        <v>45713</v>
      </c>
      <c r="B299" s="7" t="str">
        <f t="shared" si="2"/>
        <v>Laptop</v>
      </c>
      <c r="C299" s="7" t="str">
        <f t="shared" si="3"/>
        <v>Electronics</v>
      </c>
      <c r="D299" s="7" t="str">
        <f t="shared" si="4"/>
        <v>East</v>
      </c>
      <c r="E299" s="8">
        <f t="shared" si="5"/>
        <v>1658</v>
      </c>
      <c r="F299" s="8">
        <f t="shared" si="6"/>
        <v>315.02</v>
      </c>
      <c r="G299" s="9">
        <f t="shared" si="7"/>
        <v>9</v>
      </c>
      <c r="H299" s="7" t="str">
        <f t="shared" si="8"/>
        <v>Feb</v>
      </c>
      <c r="I299" s="7">
        <f t="shared" si="9"/>
        <v>2</v>
      </c>
    </row>
    <row r="300">
      <c r="A300" s="6">
        <f t="shared" si="1"/>
        <v>46022</v>
      </c>
      <c r="B300" s="7" t="str">
        <f t="shared" si="2"/>
        <v>Phone</v>
      </c>
      <c r="C300" s="7" t="str">
        <f t="shared" si="3"/>
        <v>Electronics</v>
      </c>
      <c r="D300" s="7" t="str">
        <f t="shared" si="4"/>
        <v>North</v>
      </c>
      <c r="E300" s="8">
        <f t="shared" si="5"/>
        <v>1080</v>
      </c>
      <c r="F300" s="8">
        <f t="shared" si="6"/>
        <v>270</v>
      </c>
      <c r="G300" s="9">
        <f t="shared" si="7"/>
        <v>8</v>
      </c>
      <c r="H300" s="7" t="str">
        <f t="shared" si="8"/>
        <v>Dec</v>
      </c>
      <c r="I300" s="7">
        <f t="shared" si="9"/>
        <v>12</v>
      </c>
    </row>
    <row r="301">
      <c r="A301" s="6">
        <f t="shared" si="1"/>
        <v>45903</v>
      </c>
      <c r="B301" s="7" t="str">
        <f t="shared" si="2"/>
        <v>Laptop</v>
      </c>
      <c r="C301" s="7" t="str">
        <f t="shared" si="3"/>
        <v>Electronics</v>
      </c>
      <c r="D301" s="7" t="str">
        <f t="shared" si="4"/>
        <v>North</v>
      </c>
      <c r="E301" s="8">
        <f t="shared" si="5"/>
        <v>1385</v>
      </c>
      <c r="F301" s="8">
        <f t="shared" si="6"/>
        <v>193.9</v>
      </c>
      <c r="G301" s="9">
        <f t="shared" si="7"/>
        <v>8</v>
      </c>
      <c r="H301" s="7" t="str">
        <f t="shared" si="8"/>
        <v>Sep</v>
      </c>
      <c r="I301" s="7">
        <f t="shared" si="9"/>
        <v>9</v>
      </c>
    </row>
    <row r="302">
      <c r="A302" s="6">
        <f t="shared" si="1"/>
        <v>45863</v>
      </c>
      <c r="B302" s="7" t="str">
        <f t="shared" si="2"/>
        <v>Laptop</v>
      </c>
      <c r="C302" s="7" t="str">
        <f t="shared" si="3"/>
        <v>Electronics</v>
      </c>
      <c r="D302" s="7" t="str">
        <f t="shared" si="4"/>
        <v>South</v>
      </c>
      <c r="E302" s="8">
        <f t="shared" si="5"/>
        <v>1171</v>
      </c>
      <c r="F302" s="8">
        <f t="shared" si="6"/>
        <v>304.46</v>
      </c>
      <c r="G302" s="9">
        <f t="shared" si="7"/>
        <v>5</v>
      </c>
      <c r="H302" s="7" t="str">
        <f t="shared" si="8"/>
        <v>Jul</v>
      </c>
      <c r="I302" s="7">
        <f t="shared" si="9"/>
        <v>7</v>
      </c>
    </row>
    <row r="303">
      <c r="A303" s="6">
        <f t="shared" si="1"/>
        <v>45960</v>
      </c>
      <c r="B303" s="7" t="str">
        <f t="shared" si="2"/>
        <v>Tablet</v>
      </c>
      <c r="C303" s="7" t="str">
        <f t="shared" si="3"/>
        <v>Electronics</v>
      </c>
      <c r="D303" s="7" t="str">
        <f t="shared" si="4"/>
        <v>South</v>
      </c>
      <c r="E303" s="8">
        <f t="shared" si="5"/>
        <v>1683</v>
      </c>
      <c r="F303" s="8">
        <f t="shared" si="6"/>
        <v>168.3</v>
      </c>
      <c r="G303" s="9">
        <f t="shared" si="7"/>
        <v>8</v>
      </c>
      <c r="H303" s="7" t="str">
        <f t="shared" si="8"/>
        <v>Oct</v>
      </c>
      <c r="I303" s="7">
        <f t="shared" si="9"/>
        <v>10</v>
      </c>
    </row>
    <row r="304">
      <c r="A304" s="6">
        <f t="shared" si="1"/>
        <v>46004</v>
      </c>
      <c r="B304" s="7" t="str">
        <f t="shared" si="2"/>
        <v>Laptop</v>
      </c>
      <c r="C304" s="7" t="str">
        <f t="shared" si="3"/>
        <v>Electronics</v>
      </c>
      <c r="D304" s="7" t="str">
        <f t="shared" si="4"/>
        <v>North</v>
      </c>
      <c r="E304" s="8">
        <f t="shared" si="5"/>
        <v>1123</v>
      </c>
      <c r="F304" s="8">
        <f t="shared" si="6"/>
        <v>213.37</v>
      </c>
      <c r="G304" s="9">
        <f t="shared" si="7"/>
        <v>10</v>
      </c>
      <c r="H304" s="7" t="str">
        <f t="shared" si="8"/>
        <v>Dec</v>
      </c>
      <c r="I304" s="7">
        <f t="shared" si="9"/>
        <v>12</v>
      </c>
    </row>
    <row r="305">
      <c r="A305" s="6">
        <f t="shared" si="1"/>
        <v>45742</v>
      </c>
      <c r="B305" s="7" t="str">
        <f t="shared" si="2"/>
        <v>Tablet</v>
      </c>
      <c r="C305" s="7" t="str">
        <f t="shared" si="3"/>
        <v>Electronics</v>
      </c>
      <c r="D305" s="7" t="str">
        <f t="shared" si="4"/>
        <v>East</v>
      </c>
      <c r="E305" s="8">
        <f t="shared" si="5"/>
        <v>439</v>
      </c>
      <c r="F305" s="8">
        <f t="shared" si="6"/>
        <v>79.02</v>
      </c>
      <c r="G305" s="9">
        <f t="shared" si="7"/>
        <v>10</v>
      </c>
      <c r="H305" s="7" t="str">
        <f t="shared" si="8"/>
        <v>Mar</v>
      </c>
      <c r="I305" s="7">
        <f t="shared" si="9"/>
        <v>3</v>
      </c>
    </row>
    <row r="306">
      <c r="A306" s="6">
        <f t="shared" si="1"/>
        <v>45673</v>
      </c>
      <c r="B306" s="7" t="str">
        <f t="shared" si="2"/>
        <v>Table</v>
      </c>
      <c r="C306" s="7" t="str">
        <f t="shared" si="3"/>
        <v>Furniture</v>
      </c>
      <c r="D306" s="7" t="str">
        <f t="shared" si="4"/>
        <v>West</v>
      </c>
      <c r="E306" s="8">
        <f t="shared" si="5"/>
        <v>653</v>
      </c>
      <c r="F306" s="8">
        <f t="shared" si="6"/>
        <v>143.66</v>
      </c>
      <c r="G306" s="9">
        <f t="shared" si="7"/>
        <v>7</v>
      </c>
      <c r="H306" s="7" t="str">
        <f t="shared" si="8"/>
        <v>Jan</v>
      </c>
      <c r="I306" s="7">
        <f t="shared" si="9"/>
        <v>1</v>
      </c>
    </row>
    <row r="307">
      <c r="A307" s="6">
        <f t="shared" si="1"/>
        <v>45698</v>
      </c>
      <c r="B307" s="7" t="str">
        <f t="shared" si="2"/>
        <v>Laptop</v>
      </c>
      <c r="C307" s="7" t="str">
        <f t="shared" si="3"/>
        <v>Electronics</v>
      </c>
      <c r="D307" s="7" t="str">
        <f t="shared" si="4"/>
        <v>West</v>
      </c>
      <c r="E307" s="8">
        <f t="shared" si="5"/>
        <v>1583</v>
      </c>
      <c r="F307" s="8">
        <f t="shared" si="6"/>
        <v>379.92</v>
      </c>
      <c r="G307" s="9">
        <f t="shared" si="7"/>
        <v>2</v>
      </c>
      <c r="H307" s="7" t="str">
        <f t="shared" si="8"/>
        <v>Feb</v>
      </c>
      <c r="I307" s="7">
        <f t="shared" si="9"/>
        <v>2</v>
      </c>
    </row>
    <row r="308">
      <c r="A308" s="6">
        <f t="shared" si="1"/>
        <v>45993</v>
      </c>
      <c r="B308" s="7" t="str">
        <f t="shared" si="2"/>
        <v>Table</v>
      </c>
      <c r="C308" s="7" t="str">
        <f t="shared" si="3"/>
        <v>Furniture</v>
      </c>
      <c r="D308" s="7" t="str">
        <f t="shared" si="4"/>
        <v>North</v>
      </c>
      <c r="E308" s="8">
        <f t="shared" si="5"/>
        <v>1184</v>
      </c>
      <c r="F308" s="8">
        <f t="shared" si="6"/>
        <v>248.64</v>
      </c>
      <c r="G308" s="9">
        <f t="shared" si="7"/>
        <v>2</v>
      </c>
      <c r="H308" s="7" t="str">
        <f t="shared" si="8"/>
        <v>Dec</v>
      </c>
      <c r="I308" s="7">
        <f t="shared" si="9"/>
        <v>12</v>
      </c>
    </row>
    <row r="309">
      <c r="A309" s="6">
        <f t="shared" si="1"/>
        <v>45835</v>
      </c>
      <c r="B309" s="7" t="str">
        <f t="shared" si="2"/>
        <v>Phone</v>
      </c>
      <c r="C309" s="7" t="str">
        <f t="shared" si="3"/>
        <v>Electronics</v>
      </c>
      <c r="D309" s="7" t="str">
        <f t="shared" si="4"/>
        <v>West</v>
      </c>
      <c r="E309" s="8">
        <f t="shared" si="5"/>
        <v>1259</v>
      </c>
      <c r="F309" s="8">
        <f t="shared" si="6"/>
        <v>302.16</v>
      </c>
      <c r="G309" s="9">
        <f t="shared" si="7"/>
        <v>6</v>
      </c>
      <c r="H309" s="7" t="str">
        <f t="shared" si="8"/>
        <v>Jun</v>
      </c>
      <c r="I309" s="7">
        <f t="shared" si="9"/>
        <v>6</v>
      </c>
    </row>
    <row r="310">
      <c r="A310" s="6">
        <f t="shared" si="1"/>
        <v>45915</v>
      </c>
      <c r="B310" s="7" t="str">
        <f t="shared" si="2"/>
        <v>Laptop</v>
      </c>
      <c r="C310" s="7" t="str">
        <f t="shared" si="3"/>
        <v>Electronics</v>
      </c>
      <c r="D310" s="7" t="str">
        <f t="shared" si="4"/>
        <v>East</v>
      </c>
      <c r="E310" s="8">
        <f t="shared" si="5"/>
        <v>1438</v>
      </c>
      <c r="F310" s="8">
        <f t="shared" si="6"/>
        <v>345.12</v>
      </c>
      <c r="G310" s="9">
        <f t="shared" si="7"/>
        <v>2</v>
      </c>
      <c r="H310" s="7" t="str">
        <f t="shared" si="8"/>
        <v>Sep</v>
      </c>
      <c r="I310" s="7">
        <f t="shared" si="9"/>
        <v>9</v>
      </c>
    </row>
    <row r="311">
      <c r="A311" s="6">
        <f t="shared" si="1"/>
        <v>46003</v>
      </c>
      <c r="B311" s="7" t="str">
        <f t="shared" si="2"/>
        <v>Tablet</v>
      </c>
      <c r="C311" s="7" t="str">
        <f t="shared" si="3"/>
        <v>Electronics</v>
      </c>
      <c r="D311" s="7" t="str">
        <f t="shared" si="4"/>
        <v>North</v>
      </c>
      <c r="E311" s="8">
        <f t="shared" si="5"/>
        <v>474</v>
      </c>
      <c r="F311" s="8">
        <f t="shared" si="6"/>
        <v>94.8</v>
      </c>
      <c r="G311" s="9">
        <f t="shared" si="7"/>
        <v>3</v>
      </c>
      <c r="H311" s="7" t="str">
        <f t="shared" si="8"/>
        <v>Dec</v>
      </c>
      <c r="I311" s="7">
        <f t="shared" si="9"/>
        <v>12</v>
      </c>
    </row>
    <row r="312">
      <c r="A312" s="6">
        <f t="shared" si="1"/>
        <v>45691</v>
      </c>
      <c r="B312" s="7" t="str">
        <f t="shared" si="2"/>
        <v>Monitor</v>
      </c>
      <c r="C312" s="7" t="str">
        <f t="shared" si="3"/>
        <v>Electronics</v>
      </c>
      <c r="D312" s="7" t="str">
        <f t="shared" si="4"/>
        <v>South</v>
      </c>
      <c r="E312" s="8">
        <f t="shared" si="5"/>
        <v>843</v>
      </c>
      <c r="F312" s="8">
        <f t="shared" si="6"/>
        <v>126.45</v>
      </c>
      <c r="G312" s="9">
        <f t="shared" si="7"/>
        <v>1</v>
      </c>
      <c r="H312" s="7" t="str">
        <f t="shared" si="8"/>
        <v>Feb</v>
      </c>
      <c r="I312" s="7">
        <f t="shared" si="9"/>
        <v>2</v>
      </c>
    </row>
    <row r="313">
      <c r="A313" s="6">
        <f t="shared" si="1"/>
        <v>45856</v>
      </c>
      <c r="B313" s="7" t="str">
        <f t="shared" si="2"/>
        <v>Chair</v>
      </c>
      <c r="C313" s="7" t="str">
        <f t="shared" si="3"/>
        <v>Furniture</v>
      </c>
      <c r="D313" s="7" t="str">
        <f t="shared" si="4"/>
        <v>West</v>
      </c>
      <c r="E313" s="8">
        <f t="shared" si="5"/>
        <v>1184</v>
      </c>
      <c r="F313" s="8">
        <f t="shared" si="6"/>
        <v>272.32</v>
      </c>
      <c r="G313" s="9">
        <f t="shared" si="7"/>
        <v>1</v>
      </c>
      <c r="H313" s="7" t="str">
        <f t="shared" si="8"/>
        <v>Jul</v>
      </c>
      <c r="I313" s="7">
        <f t="shared" si="9"/>
        <v>7</v>
      </c>
    </row>
    <row r="314">
      <c r="A314" s="6">
        <f t="shared" si="1"/>
        <v>45852</v>
      </c>
      <c r="B314" s="7" t="str">
        <f t="shared" si="2"/>
        <v>Laptop</v>
      </c>
      <c r="C314" s="7" t="str">
        <f t="shared" si="3"/>
        <v>Electronics</v>
      </c>
      <c r="D314" s="7" t="str">
        <f t="shared" si="4"/>
        <v>North</v>
      </c>
      <c r="E314" s="8">
        <f t="shared" si="5"/>
        <v>447</v>
      </c>
      <c r="F314" s="8">
        <f t="shared" si="6"/>
        <v>125.16</v>
      </c>
      <c r="G314" s="9">
        <f t="shared" si="7"/>
        <v>7</v>
      </c>
      <c r="H314" s="7" t="str">
        <f t="shared" si="8"/>
        <v>Jul</v>
      </c>
      <c r="I314" s="7">
        <f t="shared" si="9"/>
        <v>7</v>
      </c>
    </row>
    <row r="315">
      <c r="A315" s="6">
        <f t="shared" si="1"/>
        <v>46005</v>
      </c>
      <c r="B315" s="7" t="str">
        <f t="shared" si="2"/>
        <v>Laptop</v>
      </c>
      <c r="C315" s="7" t="str">
        <f t="shared" si="3"/>
        <v>Electronics</v>
      </c>
      <c r="D315" s="7" t="str">
        <f t="shared" si="4"/>
        <v>North</v>
      </c>
      <c r="E315" s="8">
        <f t="shared" si="5"/>
        <v>1660</v>
      </c>
      <c r="F315" s="8">
        <f t="shared" si="6"/>
        <v>249</v>
      </c>
      <c r="G315" s="9">
        <f t="shared" si="7"/>
        <v>7</v>
      </c>
      <c r="H315" s="7" t="str">
        <f t="shared" si="8"/>
        <v>Dec</v>
      </c>
      <c r="I315" s="7">
        <f t="shared" si="9"/>
        <v>12</v>
      </c>
    </row>
    <row r="316">
      <c r="A316" s="6">
        <f t="shared" si="1"/>
        <v>45951</v>
      </c>
      <c r="B316" s="7" t="str">
        <f t="shared" si="2"/>
        <v>Tablet</v>
      </c>
      <c r="C316" s="7" t="str">
        <f t="shared" si="3"/>
        <v>Electronics</v>
      </c>
      <c r="D316" s="7" t="str">
        <f t="shared" si="4"/>
        <v>South</v>
      </c>
      <c r="E316" s="8">
        <f t="shared" si="5"/>
        <v>1000</v>
      </c>
      <c r="F316" s="8">
        <f t="shared" si="6"/>
        <v>190</v>
      </c>
      <c r="G316" s="9">
        <f t="shared" si="7"/>
        <v>1</v>
      </c>
      <c r="H316" s="7" t="str">
        <f t="shared" si="8"/>
        <v>Oct</v>
      </c>
      <c r="I316" s="7">
        <f t="shared" si="9"/>
        <v>10</v>
      </c>
    </row>
    <row r="317">
      <c r="A317" s="6">
        <f t="shared" si="1"/>
        <v>45752</v>
      </c>
      <c r="B317" s="7" t="str">
        <f t="shared" si="2"/>
        <v>Laptop</v>
      </c>
      <c r="C317" s="7" t="str">
        <f t="shared" si="3"/>
        <v>Electronics</v>
      </c>
      <c r="D317" s="7" t="str">
        <f t="shared" si="4"/>
        <v>North</v>
      </c>
      <c r="E317" s="8">
        <f t="shared" si="5"/>
        <v>643</v>
      </c>
      <c r="F317" s="8">
        <f t="shared" si="6"/>
        <v>70.73</v>
      </c>
      <c r="G317" s="9">
        <f t="shared" si="7"/>
        <v>6</v>
      </c>
      <c r="H317" s="7" t="str">
        <f t="shared" si="8"/>
        <v>Apr</v>
      </c>
      <c r="I317" s="7">
        <f t="shared" si="9"/>
        <v>4</v>
      </c>
    </row>
    <row r="318">
      <c r="A318" s="6">
        <f t="shared" si="1"/>
        <v>45884</v>
      </c>
      <c r="B318" s="7" t="str">
        <f t="shared" si="2"/>
        <v>Tablet</v>
      </c>
      <c r="C318" s="7" t="str">
        <f t="shared" si="3"/>
        <v>Electronics</v>
      </c>
      <c r="D318" s="7" t="str">
        <f t="shared" si="4"/>
        <v>North</v>
      </c>
      <c r="E318" s="8">
        <f t="shared" si="5"/>
        <v>1541</v>
      </c>
      <c r="F318" s="8">
        <f t="shared" si="6"/>
        <v>184.92</v>
      </c>
      <c r="G318" s="9">
        <f t="shared" si="7"/>
        <v>7</v>
      </c>
      <c r="H318" s="7" t="str">
        <f t="shared" si="8"/>
        <v>Aug</v>
      </c>
      <c r="I318" s="7">
        <f t="shared" si="9"/>
        <v>8</v>
      </c>
    </row>
    <row r="319">
      <c r="A319" s="6">
        <f t="shared" si="1"/>
        <v>45792</v>
      </c>
      <c r="B319" s="7" t="str">
        <f t="shared" si="2"/>
        <v>Table</v>
      </c>
      <c r="C319" s="7" t="str">
        <f t="shared" si="3"/>
        <v>Furniture</v>
      </c>
      <c r="D319" s="7" t="str">
        <f t="shared" si="4"/>
        <v>West</v>
      </c>
      <c r="E319" s="8">
        <f t="shared" si="5"/>
        <v>1110</v>
      </c>
      <c r="F319" s="8">
        <f t="shared" si="6"/>
        <v>122.1</v>
      </c>
      <c r="G319" s="9">
        <f t="shared" si="7"/>
        <v>9</v>
      </c>
      <c r="H319" s="7" t="str">
        <f t="shared" si="8"/>
        <v>May</v>
      </c>
      <c r="I319" s="7">
        <f t="shared" si="9"/>
        <v>5</v>
      </c>
    </row>
    <row r="320">
      <c r="A320" s="6">
        <f t="shared" si="1"/>
        <v>45953</v>
      </c>
      <c r="B320" s="7" t="str">
        <f t="shared" si="2"/>
        <v>Table</v>
      </c>
      <c r="C320" s="7" t="str">
        <f t="shared" si="3"/>
        <v>Furniture</v>
      </c>
      <c r="D320" s="7" t="str">
        <f t="shared" si="4"/>
        <v>West</v>
      </c>
      <c r="E320" s="8">
        <f t="shared" si="5"/>
        <v>467</v>
      </c>
      <c r="F320" s="8">
        <f t="shared" si="6"/>
        <v>74.72</v>
      </c>
      <c r="G320" s="9">
        <f t="shared" si="7"/>
        <v>9</v>
      </c>
      <c r="H320" s="7" t="str">
        <f t="shared" si="8"/>
        <v>Oct</v>
      </c>
      <c r="I320" s="7">
        <f t="shared" si="9"/>
        <v>10</v>
      </c>
    </row>
    <row r="321">
      <c r="A321" s="6">
        <f t="shared" si="1"/>
        <v>46005</v>
      </c>
      <c r="B321" s="7" t="str">
        <f t="shared" si="2"/>
        <v>Chair</v>
      </c>
      <c r="C321" s="7" t="str">
        <f t="shared" si="3"/>
        <v>Furniture</v>
      </c>
      <c r="D321" s="7" t="str">
        <f t="shared" si="4"/>
        <v>North</v>
      </c>
      <c r="E321" s="8">
        <f t="shared" si="5"/>
        <v>959</v>
      </c>
      <c r="F321" s="8">
        <f t="shared" si="6"/>
        <v>115.08</v>
      </c>
      <c r="G321" s="9">
        <f t="shared" si="7"/>
        <v>4</v>
      </c>
      <c r="H321" s="7" t="str">
        <f t="shared" si="8"/>
        <v>Dec</v>
      </c>
      <c r="I321" s="7">
        <f t="shared" si="9"/>
        <v>12</v>
      </c>
    </row>
    <row r="322">
      <c r="A322" s="6">
        <f t="shared" si="1"/>
        <v>45864</v>
      </c>
      <c r="B322" s="7" t="str">
        <f t="shared" si="2"/>
        <v>Tablet</v>
      </c>
      <c r="C322" s="7" t="str">
        <f t="shared" si="3"/>
        <v>Electronics</v>
      </c>
      <c r="D322" s="7" t="str">
        <f t="shared" si="4"/>
        <v>North</v>
      </c>
      <c r="E322" s="8">
        <f t="shared" si="5"/>
        <v>824</v>
      </c>
      <c r="F322" s="8">
        <f t="shared" si="6"/>
        <v>197.76</v>
      </c>
      <c r="G322" s="9">
        <f t="shared" si="7"/>
        <v>6</v>
      </c>
      <c r="H322" s="7" t="str">
        <f t="shared" si="8"/>
        <v>Jul</v>
      </c>
      <c r="I322" s="7">
        <f t="shared" si="9"/>
        <v>7</v>
      </c>
    </row>
    <row r="323">
      <c r="A323" s="6">
        <f t="shared" si="1"/>
        <v>45901</v>
      </c>
      <c r="B323" s="7" t="str">
        <f t="shared" si="2"/>
        <v>Tablet</v>
      </c>
      <c r="C323" s="7" t="str">
        <f t="shared" si="3"/>
        <v>Electronics</v>
      </c>
      <c r="D323" s="7" t="str">
        <f t="shared" si="4"/>
        <v>North</v>
      </c>
      <c r="E323" s="8">
        <f t="shared" si="5"/>
        <v>969</v>
      </c>
      <c r="F323" s="8">
        <f t="shared" si="6"/>
        <v>193.8</v>
      </c>
      <c r="G323" s="9">
        <f t="shared" si="7"/>
        <v>4</v>
      </c>
      <c r="H323" s="7" t="str">
        <f t="shared" si="8"/>
        <v>Sep</v>
      </c>
      <c r="I323" s="7">
        <f t="shared" si="9"/>
        <v>9</v>
      </c>
    </row>
    <row r="324">
      <c r="A324" s="6">
        <f t="shared" si="1"/>
        <v>45991</v>
      </c>
      <c r="B324" s="7" t="str">
        <f t="shared" si="2"/>
        <v>Tablet</v>
      </c>
      <c r="C324" s="7" t="str">
        <f t="shared" si="3"/>
        <v>Electronics</v>
      </c>
      <c r="D324" s="7" t="str">
        <f t="shared" si="4"/>
        <v>North</v>
      </c>
      <c r="E324" s="8">
        <f t="shared" si="5"/>
        <v>769</v>
      </c>
      <c r="F324" s="8">
        <f t="shared" si="6"/>
        <v>99.97</v>
      </c>
      <c r="G324" s="9">
        <f t="shared" si="7"/>
        <v>3</v>
      </c>
      <c r="H324" s="7" t="str">
        <f t="shared" si="8"/>
        <v>Nov</v>
      </c>
      <c r="I324" s="7">
        <f t="shared" si="9"/>
        <v>11</v>
      </c>
    </row>
    <row r="325">
      <c r="A325" s="6">
        <f t="shared" si="1"/>
        <v>45742</v>
      </c>
      <c r="B325" s="7" t="str">
        <f t="shared" si="2"/>
        <v>Chair</v>
      </c>
      <c r="C325" s="7" t="str">
        <f t="shared" si="3"/>
        <v>Furniture</v>
      </c>
      <c r="D325" s="7" t="str">
        <f t="shared" si="4"/>
        <v>East</v>
      </c>
      <c r="E325" s="8">
        <f t="shared" si="5"/>
        <v>1904</v>
      </c>
      <c r="F325" s="8">
        <f t="shared" si="6"/>
        <v>228.48</v>
      </c>
      <c r="G325" s="9">
        <f t="shared" si="7"/>
        <v>4</v>
      </c>
      <c r="H325" s="7" t="str">
        <f t="shared" si="8"/>
        <v>Mar</v>
      </c>
      <c r="I325" s="7">
        <f t="shared" si="9"/>
        <v>3</v>
      </c>
    </row>
    <row r="326">
      <c r="A326" s="6">
        <f t="shared" si="1"/>
        <v>46012</v>
      </c>
      <c r="B326" s="7" t="str">
        <f t="shared" si="2"/>
        <v>Tablet</v>
      </c>
      <c r="C326" s="7" t="str">
        <f t="shared" si="3"/>
        <v>Electronics</v>
      </c>
      <c r="D326" s="7" t="str">
        <f t="shared" si="4"/>
        <v>East</v>
      </c>
      <c r="E326" s="8">
        <f t="shared" si="5"/>
        <v>1045</v>
      </c>
      <c r="F326" s="8">
        <f t="shared" si="6"/>
        <v>135.85</v>
      </c>
      <c r="G326" s="9">
        <f t="shared" si="7"/>
        <v>4</v>
      </c>
      <c r="H326" s="7" t="str">
        <f t="shared" si="8"/>
        <v>Dec</v>
      </c>
      <c r="I326" s="7">
        <f t="shared" si="9"/>
        <v>12</v>
      </c>
    </row>
    <row r="327">
      <c r="A327" s="6">
        <f t="shared" si="1"/>
        <v>45707</v>
      </c>
      <c r="B327" s="7" t="str">
        <f t="shared" si="2"/>
        <v>Table</v>
      </c>
      <c r="C327" s="7" t="str">
        <f t="shared" si="3"/>
        <v>Furniture</v>
      </c>
      <c r="D327" s="7" t="str">
        <f t="shared" si="4"/>
        <v>East</v>
      </c>
      <c r="E327" s="8">
        <f t="shared" si="5"/>
        <v>1611</v>
      </c>
      <c r="F327" s="8">
        <f t="shared" si="6"/>
        <v>273.87</v>
      </c>
      <c r="G327" s="9">
        <f t="shared" si="7"/>
        <v>1</v>
      </c>
      <c r="H327" s="7" t="str">
        <f t="shared" si="8"/>
        <v>Feb</v>
      </c>
      <c r="I327" s="7">
        <f t="shared" si="9"/>
        <v>2</v>
      </c>
    </row>
    <row r="328">
      <c r="A328" s="6">
        <f t="shared" si="1"/>
        <v>45910</v>
      </c>
      <c r="B328" s="7" t="str">
        <f t="shared" si="2"/>
        <v>Monitor</v>
      </c>
      <c r="C328" s="7" t="str">
        <f t="shared" si="3"/>
        <v>Electronics</v>
      </c>
      <c r="D328" s="7" t="str">
        <f t="shared" si="4"/>
        <v>East</v>
      </c>
      <c r="E328" s="8">
        <f t="shared" si="5"/>
        <v>625</v>
      </c>
      <c r="F328" s="8">
        <f t="shared" si="6"/>
        <v>137.5</v>
      </c>
      <c r="G328" s="9">
        <f t="shared" si="7"/>
        <v>7</v>
      </c>
      <c r="H328" s="7" t="str">
        <f t="shared" si="8"/>
        <v>Sep</v>
      </c>
      <c r="I328" s="7">
        <f t="shared" si="9"/>
        <v>9</v>
      </c>
    </row>
    <row r="329">
      <c r="A329" s="6">
        <f t="shared" si="1"/>
        <v>45900</v>
      </c>
      <c r="B329" s="7" t="str">
        <f t="shared" si="2"/>
        <v>Phone</v>
      </c>
      <c r="C329" s="7" t="str">
        <f t="shared" si="3"/>
        <v>Electronics</v>
      </c>
      <c r="D329" s="7" t="str">
        <f t="shared" si="4"/>
        <v>South</v>
      </c>
      <c r="E329" s="8">
        <f t="shared" si="5"/>
        <v>1250</v>
      </c>
      <c r="F329" s="8">
        <f t="shared" si="6"/>
        <v>137.5</v>
      </c>
      <c r="G329" s="9">
        <f t="shared" si="7"/>
        <v>5</v>
      </c>
      <c r="H329" s="7" t="str">
        <f t="shared" si="8"/>
        <v>Aug</v>
      </c>
      <c r="I329" s="7">
        <f t="shared" si="9"/>
        <v>8</v>
      </c>
    </row>
    <row r="330">
      <c r="A330" s="6">
        <f t="shared" si="1"/>
        <v>45803</v>
      </c>
      <c r="B330" s="7" t="str">
        <f t="shared" si="2"/>
        <v>Tablet</v>
      </c>
      <c r="C330" s="7" t="str">
        <f t="shared" si="3"/>
        <v>Electronics</v>
      </c>
      <c r="D330" s="7" t="str">
        <f t="shared" si="4"/>
        <v>South</v>
      </c>
      <c r="E330" s="8">
        <f t="shared" si="5"/>
        <v>922</v>
      </c>
      <c r="F330" s="8">
        <f t="shared" si="6"/>
        <v>147.52</v>
      </c>
      <c r="G330" s="9">
        <f t="shared" si="7"/>
        <v>2</v>
      </c>
      <c r="H330" s="7" t="str">
        <f t="shared" si="8"/>
        <v>May</v>
      </c>
      <c r="I330" s="7">
        <f t="shared" si="9"/>
        <v>5</v>
      </c>
    </row>
    <row r="331">
      <c r="A331" s="6">
        <f t="shared" si="1"/>
        <v>45731</v>
      </c>
      <c r="B331" s="7" t="str">
        <f t="shared" si="2"/>
        <v>Table</v>
      </c>
      <c r="C331" s="7" t="str">
        <f t="shared" si="3"/>
        <v>Furniture</v>
      </c>
      <c r="D331" s="7" t="str">
        <f t="shared" si="4"/>
        <v>North</v>
      </c>
      <c r="E331" s="8">
        <f t="shared" si="5"/>
        <v>931</v>
      </c>
      <c r="F331" s="8">
        <f t="shared" si="6"/>
        <v>93.1</v>
      </c>
      <c r="G331" s="9">
        <f t="shared" si="7"/>
        <v>8</v>
      </c>
      <c r="H331" s="7" t="str">
        <f t="shared" si="8"/>
        <v>Mar</v>
      </c>
      <c r="I331" s="7">
        <f t="shared" si="9"/>
        <v>3</v>
      </c>
    </row>
    <row r="332">
      <c r="A332" s="6">
        <f t="shared" si="1"/>
        <v>45900</v>
      </c>
      <c r="B332" s="7" t="str">
        <f t="shared" si="2"/>
        <v>Laptop</v>
      </c>
      <c r="C332" s="7" t="str">
        <f t="shared" si="3"/>
        <v>Electronics</v>
      </c>
      <c r="D332" s="7" t="str">
        <f t="shared" si="4"/>
        <v>North</v>
      </c>
      <c r="E332" s="8">
        <f t="shared" si="5"/>
        <v>956</v>
      </c>
      <c r="F332" s="8">
        <f t="shared" si="6"/>
        <v>248.56</v>
      </c>
      <c r="G332" s="9">
        <f t="shared" si="7"/>
        <v>8</v>
      </c>
      <c r="H332" s="7" t="str">
        <f t="shared" si="8"/>
        <v>Aug</v>
      </c>
      <c r="I332" s="7">
        <f t="shared" si="9"/>
        <v>8</v>
      </c>
    </row>
    <row r="333">
      <c r="A333" s="6">
        <f t="shared" si="1"/>
        <v>45936</v>
      </c>
      <c r="B333" s="7" t="str">
        <f t="shared" si="2"/>
        <v>Table</v>
      </c>
      <c r="C333" s="7" t="str">
        <f t="shared" si="3"/>
        <v>Furniture</v>
      </c>
      <c r="D333" s="7" t="str">
        <f t="shared" si="4"/>
        <v>East</v>
      </c>
      <c r="E333" s="8">
        <f t="shared" si="5"/>
        <v>581</v>
      </c>
      <c r="F333" s="8">
        <f t="shared" si="6"/>
        <v>63.91</v>
      </c>
      <c r="G333" s="9">
        <f t="shared" si="7"/>
        <v>1</v>
      </c>
      <c r="H333" s="7" t="str">
        <f t="shared" si="8"/>
        <v>Oct</v>
      </c>
      <c r="I333" s="7">
        <f t="shared" si="9"/>
        <v>10</v>
      </c>
    </row>
    <row r="334">
      <c r="A334" s="6">
        <f t="shared" si="1"/>
        <v>45936</v>
      </c>
      <c r="B334" s="7" t="str">
        <f t="shared" si="2"/>
        <v>Tablet</v>
      </c>
      <c r="C334" s="7" t="str">
        <f t="shared" si="3"/>
        <v>Electronics</v>
      </c>
      <c r="D334" s="7" t="str">
        <f t="shared" si="4"/>
        <v>North</v>
      </c>
      <c r="E334" s="8">
        <f t="shared" si="5"/>
        <v>508</v>
      </c>
      <c r="F334" s="8">
        <f t="shared" si="6"/>
        <v>106.68</v>
      </c>
      <c r="G334" s="9">
        <f t="shared" si="7"/>
        <v>1</v>
      </c>
      <c r="H334" s="7" t="str">
        <f t="shared" si="8"/>
        <v>Oct</v>
      </c>
      <c r="I334" s="7">
        <f t="shared" si="9"/>
        <v>10</v>
      </c>
    </row>
    <row r="335">
      <c r="A335" s="6">
        <f t="shared" si="1"/>
        <v>45928</v>
      </c>
      <c r="B335" s="7" t="str">
        <f t="shared" si="2"/>
        <v>Tablet</v>
      </c>
      <c r="C335" s="7" t="str">
        <f t="shared" si="3"/>
        <v>Electronics</v>
      </c>
      <c r="D335" s="7" t="str">
        <f t="shared" si="4"/>
        <v>West</v>
      </c>
      <c r="E335" s="8">
        <f t="shared" si="5"/>
        <v>305</v>
      </c>
      <c r="F335" s="8">
        <f t="shared" si="6"/>
        <v>33.55</v>
      </c>
      <c r="G335" s="9">
        <f t="shared" si="7"/>
        <v>7</v>
      </c>
      <c r="H335" s="7" t="str">
        <f t="shared" si="8"/>
        <v>Sep</v>
      </c>
      <c r="I335" s="7">
        <f t="shared" si="9"/>
        <v>9</v>
      </c>
    </row>
    <row r="336">
      <c r="A336" s="6">
        <f t="shared" si="1"/>
        <v>45735</v>
      </c>
      <c r="B336" s="7" t="str">
        <f t="shared" si="2"/>
        <v>Table</v>
      </c>
      <c r="C336" s="7" t="str">
        <f t="shared" si="3"/>
        <v>Furniture</v>
      </c>
      <c r="D336" s="7" t="str">
        <f t="shared" si="4"/>
        <v>East</v>
      </c>
      <c r="E336" s="8">
        <f t="shared" si="5"/>
        <v>200</v>
      </c>
      <c r="F336" s="8">
        <f t="shared" si="6"/>
        <v>28</v>
      </c>
      <c r="G336" s="9">
        <f t="shared" si="7"/>
        <v>6</v>
      </c>
      <c r="H336" s="7" t="str">
        <f t="shared" si="8"/>
        <v>Mar</v>
      </c>
      <c r="I336" s="7">
        <f t="shared" si="9"/>
        <v>3</v>
      </c>
    </row>
    <row r="337">
      <c r="A337" s="6">
        <f t="shared" si="1"/>
        <v>45802</v>
      </c>
      <c r="B337" s="7" t="str">
        <f t="shared" si="2"/>
        <v>Chair</v>
      </c>
      <c r="C337" s="7" t="str">
        <f t="shared" si="3"/>
        <v>Furniture</v>
      </c>
      <c r="D337" s="7" t="str">
        <f t="shared" si="4"/>
        <v>South</v>
      </c>
      <c r="E337" s="8">
        <f t="shared" si="5"/>
        <v>1175</v>
      </c>
      <c r="F337" s="8">
        <f t="shared" si="6"/>
        <v>270.25</v>
      </c>
      <c r="G337" s="9">
        <f t="shared" si="7"/>
        <v>6</v>
      </c>
      <c r="H337" s="7" t="str">
        <f t="shared" si="8"/>
        <v>May</v>
      </c>
      <c r="I337" s="7">
        <f t="shared" si="9"/>
        <v>5</v>
      </c>
    </row>
    <row r="338">
      <c r="A338" s="6">
        <f t="shared" si="1"/>
        <v>45853</v>
      </c>
      <c r="B338" s="7" t="str">
        <f t="shared" si="2"/>
        <v>Phone</v>
      </c>
      <c r="C338" s="7" t="str">
        <f t="shared" si="3"/>
        <v>Electronics</v>
      </c>
      <c r="D338" s="7" t="str">
        <f t="shared" si="4"/>
        <v>East</v>
      </c>
      <c r="E338" s="8">
        <f t="shared" si="5"/>
        <v>1906</v>
      </c>
      <c r="F338" s="8">
        <f t="shared" si="6"/>
        <v>476.5</v>
      </c>
      <c r="G338" s="9">
        <f t="shared" si="7"/>
        <v>2</v>
      </c>
      <c r="H338" s="7" t="str">
        <f t="shared" si="8"/>
        <v>Jul</v>
      </c>
      <c r="I338" s="7">
        <f t="shared" si="9"/>
        <v>7</v>
      </c>
    </row>
    <row r="339">
      <c r="A339" s="6">
        <f t="shared" si="1"/>
        <v>45730</v>
      </c>
      <c r="B339" s="7" t="str">
        <f t="shared" si="2"/>
        <v>Chair</v>
      </c>
      <c r="C339" s="7" t="str">
        <f t="shared" si="3"/>
        <v>Furniture</v>
      </c>
      <c r="D339" s="7" t="str">
        <f t="shared" si="4"/>
        <v>North</v>
      </c>
      <c r="E339" s="8">
        <f t="shared" si="5"/>
        <v>1865</v>
      </c>
      <c r="F339" s="8">
        <f t="shared" si="6"/>
        <v>354.35</v>
      </c>
      <c r="G339" s="9">
        <f t="shared" si="7"/>
        <v>3</v>
      </c>
      <c r="H339" s="7" t="str">
        <f t="shared" si="8"/>
        <v>Mar</v>
      </c>
      <c r="I339" s="7">
        <f t="shared" si="9"/>
        <v>3</v>
      </c>
    </row>
    <row r="340">
      <c r="A340" s="6">
        <f t="shared" si="1"/>
        <v>45918</v>
      </c>
      <c r="B340" s="7" t="str">
        <f t="shared" si="2"/>
        <v>Phone</v>
      </c>
      <c r="C340" s="7" t="str">
        <f t="shared" si="3"/>
        <v>Electronics</v>
      </c>
      <c r="D340" s="7" t="str">
        <f t="shared" si="4"/>
        <v>East</v>
      </c>
      <c r="E340" s="8">
        <f t="shared" si="5"/>
        <v>1933</v>
      </c>
      <c r="F340" s="8">
        <f t="shared" si="6"/>
        <v>367.27</v>
      </c>
      <c r="G340" s="9">
        <f t="shared" si="7"/>
        <v>8</v>
      </c>
      <c r="H340" s="7" t="str">
        <f t="shared" si="8"/>
        <v>Sep</v>
      </c>
      <c r="I340" s="7">
        <f t="shared" si="9"/>
        <v>9</v>
      </c>
    </row>
    <row r="341">
      <c r="A341" s="6">
        <f t="shared" si="1"/>
        <v>45817</v>
      </c>
      <c r="B341" s="7" t="str">
        <f t="shared" si="2"/>
        <v>Chair</v>
      </c>
      <c r="C341" s="7" t="str">
        <f t="shared" si="3"/>
        <v>Furniture</v>
      </c>
      <c r="D341" s="7" t="str">
        <f t="shared" si="4"/>
        <v>North</v>
      </c>
      <c r="E341" s="8">
        <f t="shared" si="5"/>
        <v>1111</v>
      </c>
      <c r="F341" s="8">
        <f t="shared" si="6"/>
        <v>311.08</v>
      </c>
      <c r="G341" s="9">
        <f t="shared" si="7"/>
        <v>6</v>
      </c>
      <c r="H341" s="7" t="str">
        <f t="shared" si="8"/>
        <v>Jun</v>
      </c>
      <c r="I341" s="7">
        <f t="shared" si="9"/>
        <v>6</v>
      </c>
    </row>
    <row r="342">
      <c r="A342" s="6">
        <f t="shared" si="1"/>
        <v>45819</v>
      </c>
      <c r="B342" s="7" t="str">
        <f t="shared" si="2"/>
        <v>Table</v>
      </c>
      <c r="C342" s="7" t="str">
        <f t="shared" si="3"/>
        <v>Furniture</v>
      </c>
      <c r="D342" s="7" t="str">
        <f t="shared" si="4"/>
        <v>South</v>
      </c>
      <c r="E342" s="8">
        <f t="shared" si="5"/>
        <v>1721</v>
      </c>
      <c r="F342" s="8">
        <f t="shared" si="6"/>
        <v>395.83</v>
      </c>
      <c r="G342" s="9">
        <f t="shared" si="7"/>
        <v>8</v>
      </c>
      <c r="H342" s="7" t="str">
        <f t="shared" si="8"/>
        <v>Jun</v>
      </c>
      <c r="I342" s="7">
        <f t="shared" si="9"/>
        <v>6</v>
      </c>
    </row>
    <row r="343">
      <c r="A343" s="6">
        <f t="shared" si="1"/>
        <v>45995</v>
      </c>
      <c r="B343" s="7" t="str">
        <f t="shared" si="2"/>
        <v>Table</v>
      </c>
      <c r="C343" s="7" t="str">
        <f t="shared" si="3"/>
        <v>Furniture</v>
      </c>
      <c r="D343" s="7" t="str">
        <f t="shared" si="4"/>
        <v>South</v>
      </c>
      <c r="E343" s="8">
        <f t="shared" si="5"/>
        <v>1219</v>
      </c>
      <c r="F343" s="8">
        <f t="shared" si="6"/>
        <v>146.28</v>
      </c>
      <c r="G343" s="9">
        <f t="shared" si="7"/>
        <v>5</v>
      </c>
      <c r="H343" s="7" t="str">
        <f t="shared" si="8"/>
        <v>Dec</v>
      </c>
      <c r="I343" s="7">
        <f t="shared" si="9"/>
        <v>12</v>
      </c>
    </row>
    <row r="344">
      <c r="A344" s="6">
        <f t="shared" si="1"/>
        <v>45978</v>
      </c>
      <c r="B344" s="7" t="str">
        <f t="shared" si="2"/>
        <v>Chair</v>
      </c>
      <c r="C344" s="7" t="str">
        <f t="shared" si="3"/>
        <v>Furniture</v>
      </c>
      <c r="D344" s="7" t="str">
        <f t="shared" si="4"/>
        <v>East</v>
      </c>
      <c r="E344" s="8">
        <f t="shared" si="5"/>
        <v>476</v>
      </c>
      <c r="F344" s="8">
        <f t="shared" si="6"/>
        <v>85.68</v>
      </c>
      <c r="G344" s="9">
        <f t="shared" si="7"/>
        <v>3</v>
      </c>
      <c r="H344" s="7" t="str">
        <f t="shared" si="8"/>
        <v>Nov</v>
      </c>
      <c r="I344" s="7">
        <f t="shared" si="9"/>
        <v>11</v>
      </c>
    </row>
    <row r="345">
      <c r="A345" s="6">
        <f t="shared" si="1"/>
        <v>45668</v>
      </c>
      <c r="B345" s="7" t="str">
        <f t="shared" si="2"/>
        <v>Chair</v>
      </c>
      <c r="C345" s="7" t="str">
        <f t="shared" si="3"/>
        <v>Furniture</v>
      </c>
      <c r="D345" s="7" t="str">
        <f t="shared" si="4"/>
        <v>East</v>
      </c>
      <c r="E345" s="8">
        <f t="shared" si="5"/>
        <v>646</v>
      </c>
      <c r="F345" s="8">
        <f t="shared" si="6"/>
        <v>148.58</v>
      </c>
      <c r="G345" s="9">
        <f t="shared" si="7"/>
        <v>10</v>
      </c>
      <c r="H345" s="7" t="str">
        <f t="shared" si="8"/>
        <v>Jan</v>
      </c>
      <c r="I345" s="7">
        <f t="shared" si="9"/>
        <v>1</v>
      </c>
    </row>
    <row r="346">
      <c r="A346" s="6">
        <f t="shared" si="1"/>
        <v>45755</v>
      </c>
      <c r="B346" s="7" t="str">
        <f t="shared" si="2"/>
        <v>Laptop</v>
      </c>
      <c r="C346" s="7" t="str">
        <f t="shared" si="3"/>
        <v>Electronics</v>
      </c>
      <c r="D346" s="7" t="str">
        <f t="shared" si="4"/>
        <v>West</v>
      </c>
      <c r="E346" s="8">
        <f t="shared" si="5"/>
        <v>885</v>
      </c>
      <c r="F346" s="8">
        <f t="shared" si="6"/>
        <v>159.3</v>
      </c>
      <c r="G346" s="9">
        <f t="shared" si="7"/>
        <v>5</v>
      </c>
      <c r="H346" s="7" t="str">
        <f t="shared" si="8"/>
        <v>Apr</v>
      </c>
      <c r="I346" s="7">
        <f t="shared" si="9"/>
        <v>4</v>
      </c>
    </row>
    <row r="347">
      <c r="A347" s="6">
        <f t="shared" si="1"/>
        <v>45892</v>
      </c>
      <c r="B347" s="7" t="str">
        <f t="shared" si="2"/>
        <v>Laptop</v>
      </c>
      <c r="C347" s="7" t="str">
        <f t="shared" si="3"/>
        <v>Electronics</v>
      </c>
      <c r="D347" s="7" t="str">
        <f t="shared" si="4"/>
        <v>East</v>
      </c>
      <c r="E347" s="8">
        <f t="shared" si="5"/>
        <v>1113</v>
      </c>
      <c r="F347" s="8">
        <f t="shared" si="6"/>
        <v>267.12</v>
      </c>
      <c r="G347" s="9">
        <f t="shared" si="7"/>
        <v>6</v>
      </c>
      <c r="H347" s="7" t="str">
        <f t="shared" si="8"/>
        <v>Aug</v>
      </c>
      <c r="I347" s="7">
        <f t="shared" si="9"/>
        <v>8</v>
      </c>
    </row>
    <row r="348">
      <c r="A348" s="6">
        <f t="shared" si="1"/>
        <v>45677</v>
      </c>
      <c r="B348" s="7" t="str">
        <f t="shared" si="2"/>
        <v>Table</v>
      </c>
      <c r="C348" s="7" t="str">
        <f t="shared" si="3"/>
        <v>Furniture</v>
      </c>
      <c r="D348" s="7" t="str">
        <f t="shared" si="4"/>
        <v>East</v>
      </c>
      <c r="E348" s="8">
        <f t="shared" si="5"/>
        <v>286</v>
      </c>
      <c r="F348" s="8">
        <f t="shared" si="6"/>
        <v>45.76</v>
      </c>
      <c r="G348" s="9">
        <f t="shared" si="7"/>
        <v>1</v>
      </c>
      <c r="H348" s="7" t="str">
        <f t="shared" si="8"/>
        <v>Jan</v>
      </c>
      <c r="I348" s="7">
        <f t="shared" si="9"/>
        <v>1</v>
      </c>
    </row>
    <row r="349">
      <c r="A349" s="6">
        <f t="shared" si="1"/>
        <v>45976</v>
      </c>
      <c r="B349" s="7" t="str">
        <f t="shared" si="2"/>
        <v>Laptop</v>
      </c>
      <c r="C349" s="7" t="str">
        <f t="shared" si="3"/>
        <v>Electronics</v>
      </c>
      <c r="D349" s="7" t="str">
        <f t="shared" si="4"/>
        <v>South</v>
      </c>
      <c r="E349" s="8">
        <f t="shared" si="5"/>
        <v>1711</v>
      </c>
      <c r="F349" s="8">
        <f t="shared" si="6"/>
        <v>290.87</v>
      </c>
      <c r="G349" s="9">
        <f t="shared" si="7"/>
        <v>2</v>
      </c>
      <c r="H349" s="7" t="str">
        <f t="shared" si="8"/>
        <v>Nov</v>
      </c>
      <c r="I349" s="7">
        <f t="shared" si="9"/>
        <v>11</v>
      </c>
    </row>
    <row r="350">
      <c r="A350" s="6">
        <f t="shared" si="1"/>
        <v>45719</v>
      </c>
      <c r="B350" s="7" t="str">
        <f t="shared" si="2"/>
        <v>Phone</v>
      </c>
      <c r="C350" s="7" t="str">
        <f t="shared" si="3"/>
        <v>Electronics</v>
      </c>
      <c r="D350" s="7" t="str">
        <f t="shared" si="4"/>
        <v>South</v>
      </c>
      <c r="E350" s="8">
        <f t="shared" si="5"/>
        <v>1719</v>
      </c>
      <c r="F350" s="8">
        <f t="shared" si="6"/>
        <v>498.51</v>
      </c>
      <c r="G350" s="9">
        <f t="shared" si="7"/>
        <v>10</v>
      </c>
      <c r="H350" s="7" t="str">
        <f t="shared" si="8"/>
        <v>Mar</v>
      </c>
      <c r="I350" s="7">
        <f t="shared" si="9"/>
        <v>3</v>
      </c>
    </row>
    <row r="351">
      <c r="A351" s="6">
        <f t="shared" si="1"/>
        <v>45943</v>
      </c>
      <c r="B351" s="7" t="str">
        <f t="shared" si="2"/>
        <v>Tablet</v>
      </c>
      <c r="C351" s="7" t="str">
        <f t="shared" si="3"/>
        <v>Electronics</v>
      </c>
      <c r="D351" s="7" t="str">
        <f t="shared" si="4"/>
        <v>East</v>
      </c>
      <c r="E351" s="8">
        <f t="shared" si="5"/>
        <v>1053</v>
      </c>
      <c r="F351" s="8">
        <f t="shared" si="6"/>
        <v>263.25</v>
      </c>
      <c r="G351" s="9">
        <f t="shared" si="7"/>
        <v>6</v>
      </c>
      <c r="H351" s="7" t="str">
        <f t="shared" si="8"/>
        <v>Oct</v>
      </c>
      <c r="I351" s="7">
        <f t="shared" si="9"/>
        <v>10</v>
      </c>
    </row>
    <row r="352">
      <c r="A352" s="6">
        <f t="shared" si="1"/>
        <v>45744</v>
      </c>
      <c r="B352" s="7" t="str">
        <f t="shared" si="2"/>
        <v>Tablet</v>
      </c>
      <c r="C352" s="7" t="str">
        <f t="shared" si="3"/>
        <v>Electronics</v>
      </c>
      <c r="D352" s="7" t="str">
        <f t="shared" si="4"/>
        <v>East</v>
      </c>
      <c r="E352" s="8">
        <f t="shared" si="5"/>
        <v>1152</v>
      </c>
      <c r="F352" s="8">
        <f t="shared" si="6"/>
        <v>334.08</v>
      </c>
      <c r="G352" s="9">
        <f t="shared" si="7"/>
        <v>6</v>
      </c>
      <c r="H352" s="7" t="str">
        <f t="shared" si="8"/>
        <v>Mar</v>
      </c>
      <c r="I352" s="7">
        <f t="shared" si="9"/>
        <v>3</v>
      </c>
    </row>
    <row r="353">
      <c r="A353" s="6">
        <f t="shared" si="1"/>
        <v>45793</v>
      </c>
      <c r="B353" s="7" t="str">
        <f t="shared" si="2"/>
        <v>Chair</v>
      </c>
      <c r="C353" s="7" t="str">
        <f t="shared" si="3"/>
        <v>Furniture</v>
      </c>
      <c r="D353" s="7" t="str">
        <f t="shared" si="4"/>
        <v>South</v>
      </c>
      <c r="E353" s="8">
        <f t="shared" si="5"/>
        <v>1397</v>
      </c>
      <c r="F353" s="8">
        <f t="shared" si="6"/>
        <v>391.16</v>
      </c>
      <c r="G353" s="9">
        <f t="shared" si="7"/>
        <v>5</v>
      </c>
      <c r="H353" s="7" t="str">
        <f t="shared" si="8"/>
        <v>May</v>
      </c>
      <c r="I353" s="7">
        <f t="shared" si="9"/>
        <v>5</v>
      </c>
    </row>
    <row r="354">
      <c r="A354" s="6">
        <f t="shared" si="1"/>
        <v>45856</v>
      </c>
      <c r="B354" s="7" t="str">
        <f t="shared" si="2"/>
        <v>Phone</v>
      </c>
      <c r="C354" s="7" t="str">
        <f t="shared" si="3"/>
        <v>Electronics</v>
      </c>
      <c r="D354" s="7" t="str">
        <f t="shared" si="4"/>
        <v>East</v>
      </c>
      <c r="E354" s="8">
        <f t="shared" si="5"/>
        <v>1391</v>
      </c>
      <c r="F354" s="8">
        <f t="shared" si="6"/>
        <v>180.83</v>
      </c>
      <c r="G354" s="9">
        <f t="shared" si="7"/>
        <v>9</v>
      </c>
      <c r="H354" s="7" t="str">
        <f t="shared" si="8"/>
        <v>Jul</v>
      </c>
      <c r="I354" s="7">
        <f t="shared" si="9"/>
        <v>7</v>
      </c>
    </row>
    <row r="355">
      <c r="A355" s="6">
        <f t="shared" si="1"/>
        <v>45956</v>
      </c>
      <c r="B355" s="7" t="str">
        <f t="shared" si="2"/>
        <v>Table</v>
      </c>
      <c r="C355" s="7" t="str">
        <f t="shared" si="3"/>
        <v>Furniture</v>
      </c>
      <c r="D355" s="7" t="str">
        <f t="shared" si="4"/>
        <v>North</v>
      </c>
      <c r="E355" s="8">
        <f t="shared" si="5"/>
        <v>618</v>
      </c>
      <c r="F355" s="8">
        <f t="shared" si="6"/>
        <v>173.04</v>
      </c>
      <c r="G355" s="9">
        <f t="shared" si="7"/>
        <v>5</v>
      </c>
      <c r="H355" s="7" t="str">
        <f t="shared" si="8"/>
        <v>Oct</v>
      </c>
      <c r="I355" s="7">
        <f t="shared" si="9"/>
        <v>10</v>
      </c>
    </row>
    <row r="356">
      <c r="A356" s="6">
        <f t="shared" si="1"/>
        <v>46010</v>
      </c>
      <c r="B356" s="7" t="str">
        <f t="shared" si="2"/>
        <v>Tablet</v>
      </c>
      <c r="C356" s="7" t="str">
        <f t="shared" si="3"/>
        <v>Electronics</v>
      </c>
      <c r="D356" s="7" t="str">
        <f t="shared" si="4"/>
        <v>South</v>
      </c>
      <c r="E356" s="8">
        <f t="shared" si="5"/>
        <v>1156</v>
      </c>
      <c r="F356" s="8">
        <f t="shared" si="6"/>
        <v>289</v>
      </c>
      <c r="G356" s="9">
        <f t="shared" si="7"/>
        <v>10</v>
      </c>
      <c r="H356" s="7" t="str">
        <f t="shared" si="8"/>
        <v>Dec</v>
      </c>
      <c r="I356" s="7">
        <f t="shared" si="9"/>
        <v>12</v>
      </c>
    </row>
    <row r="357">
      <c r="A357" s="6">
        <f t="shared" si="1"/>
        <v>45876</v>
      </c>
      <c r="B357" s="7" t="str">
        <f t="shared" si="2"/>
        <v>Table</v>
      </c>
      <c r="C357" s="7" t="str">
        <f t="shared" si="3"/>
        <v>Furniture</v>
      </c>
      <c r="D357" s="7" t="str">
        <f t="shared" si="4"/>
        <v>East</v>
      </c>
      <c r="E357" s="8">
        <f t="shared" si="5"/>
        <v>1454</v>
      </c>
      <c r="F357" s="8">
        <f t="shared" si="6"/>
        <v>363.5</v>
      </c>
      <c r="G357" s="9">
        <f t="shared" si="7"/>
        <v>1</v>
      </c>
      <c r="H357" s="7" t="str">
        <f t="shared" si="8"/>
        <v>Aug</v>
      </c>
      <c r="I357" s="7">
        <f t="shared" si="9"/>
        <v>8</v>
      </c>
    </row>
    <row r="358">
      <c r="A358" s="6">
        <f t="shared" si="1"/>
        <v>45903</v>
      </c>
      <c r="B358" s="7" t="str">
        <f t="shared" si="2"/>
        <v>Monitor</v>
      </c>
      <c r="C358" s="7" t="str">
        <f t="shared" si="3"/>
        <v>Electronics</v>
      </c>
      <c r="D358" s="7" t="str">
        <f t="shared" si="4"/>
        <v>East</v>
      </c>
      <c r="E358" s="8">
        <f t="shared" si="5"/>
        <v>1009</v>
      </c>
      <c r="F358" s="8">
        <f t="shared" si="6"/>
        <v>221.98</v>
      </c>
      <c r="G358" s="9">
        <f t="shared" si="7"/>
        <v>8</v>
      </c>
      <c r="H358" s="7" t="str">
        <f t="shared" si="8"/>
        <v>Sep</v>
      </c>
      <c r="I358" s="7">
        <f t="shared" si="9"/>
        <v>9</v>
      </c>
    </row>
    <row r="359">
      <c r="A359" s="6">
        <f t="shared" si="1"/>
        <v>45923</v>
      </c>
      <c r="B359" s="7" t="str">
        <f t="shared" si="2"/>
        <v>Monitor</v>
      </c>
      <c r="C359" s="7" t="str">
        <f t="shared" si="3"/>
        <v>Electronics</v>
      </c>
      <c r="D359" s="7" t="str">
        <f t="shared" si="4"/>
        <v>East</v>
      </c>
      <c r="E359" s="8">
        <f t="shared" si="5"/>
        <v>1878</v>
      </c>
      <c r="F359" s="8">
        <f t="shared" si="6"/>
        <v>413.16</v>
      </c>
      <c r="G359" s="9">
        <f t="shared" si="7"/>
        <v>6</v>
      </c>
      <c r="H359" s="7" t="str">
        <f t="shared" si="8"/>
        <v>Sep</v>
      </c>
      <c r="I359" s="7">
        <f t="shared" si="9"/>
        <v>9</v>
      </c>
    </row>
    <row r="360">
      <c r="A360" s="6">
        <f t="shared" si="1"/>
        <v>45934</v>
      </c>
      <c r="B360" s="7" t="str">
        <f t="shared" si="2"/>
        <v>Monitor</v>
      </c>
      <c r="C360" s="7" t="str">
        <f t="shared" si="3"/>
        <v>Electronics</v>
      </c>
      <c r="D360" s="7" t="str">
        <f t="shared" si="4"/>
        <v>East</v>
      </c>
      <c r="E360" s="8">
        <f t="shared" si="5"/>
        <v>665</v>
      </c>
      <c r="F360" s="8">
        <f t="shared" si="6"/>
        <v>159.6</v>
      </c>
      <c r="G360" s="9">
        <f t="shared" si="7"/>
        <v>4</v>
      </c>
      <c r="H360" s="7" t="str">
        <f t="shared" si="8"/>
        <v>Oct</v>
      </c>
      <c r="I360" s="7">
        <f t="shared" si="9"/>
        <v>10</v>
      </c>
    </row>
    <row r="361">
      <c r="A361" s="6">
        <f t="shared" si="1"/>
        <v>45883</v>
      </c>
      <c r="B361" s="7" t="str">
        <f t="shared" si="2"/>
        <v>Monitor</v>
      </c>
      <c r="C361" s="7" t="str">
        <f t="shared" si="3"/>
        <v>Electronics</v>
      </c>
      <c r="D361" s="7" t="str">
        <f t="shared" si="4"/>
        <v>South</v>
      </c>
      <c r="E361" s="8">
        <f t="shared" si="5"/>
        <v>1501</v>
      </c>
      <c r="F361" s="8">
        <f t="shared" si="6"/>
        <v>435.29</v>
      </c>
      <c r="G361" s="9">
        <f t="shared" si="7"/>
        <v>5</v>
      </c>
      <c r="H361" s="7" t="str">
        <f t="shared" si="8"/>
        <v>Aug</v>
      </c>
      <c r="I361" s="7">
        <f t="shared" si="9"/>
        <v>8</v>
      </c>
    </row>
    <row r="362">
      <c r="A362" s="6">
        <f t="shared" si="1"/>
        <v>45917</v>
      </c>
      <c r="B362" s="7" t="str">
        <f t="shared" si="2"/>
        <v>Table</v>
      </c>
      <c r="C362" s="7" t="str">
        <f t="shared" si="3"/>
        <v>Furniture</v>
      </c>
      <c r="D362" s="7" t="str">
        <f t="shared" si="4"/>
        <v>South</v>
      </c>
      <c r="E362" s="8">
        <f t="shared" si="5"/>
        <v>1614</v>
      </c>
      <c r="F362" s="8">
        <f t="shared" si="6"/>
        <v>306.66</v>
      </c>
      <c r="G362" s="9">
        <f t="shared" si="7"/>
        <v>6</v>
      </c>
      <c r="H362" s="7" t="str">
        <f t="shared" si="8"/>
        <v>Sep</v>
      </c>
      <c r="I362" s="7">
        <f t="shared" si="9"/>
        <v>9</v>
      </c>
    </row>
    <row r="363">
      <c r="A363" s="6">
        <f t="shared" si="1"/>
        <v>45724</v>
      </c>
      <c r="B363" s="7" t="str">
        <f t="shared" si="2"/>
        <v>Table</v>
      </c>
      <c r="C363" s="7" t="str">
        <f t="shared" si="3"/>
        <v>Furniture</v>
      </c>
      <c r="D363" s="7" t="str">
        <f t="shared" si="4"/>
        <v>West</v>
      </c>
      <c r="E363" s="8">
        <f t="shared" si="5"/>
        <v>1661</v>
      </c>
      <c r="F363" s="8">
        <f t="shared" si="6"/>
        <v>298.98</v>
      </c>
      <c r="G363" s="9">
        <f t="shared" si="7"/>
        <v>10</v>
      </c>
      <c r="H363" s="7" t="str">
        <f t="shared" si="8"/>
        <v>Mar</v>
      </c>
      <c r="I363" s="7">
        <f t="shared" si="9"/>
        <v>3</v>
      </c>
    </row>
    <row r="364">
      <c r="A364" s="6">
        <f t="shared" si="1"/>
        <v>45953</v>
      </c>
      <c r="B364" s="7" t="str">
        <f t="shared" si="2"/>
        <v>Monitor</v>
      </c>
      <c r="C364" s="7" t="str">
        <f t="shared" si="3"/>
        <v>Electronics</v>
      </c>
      <c r="D364" s="7" t="str">
        <f t="shared" si="4"/>
        <v>West</v>
      </c>
      <c r="E364" s="8">
        <f t="shared" si="5"/>
        <v>1662</v>
      </c>
      <c r="F364" s="8">
        <f t="shared" si="6"/>
        <v>216.06</v>
      </c>
      <c r="G364" s="9">
        <f t="shared" si="7"/>
        <v>2</v>
      </c>
      <c r="H364" s="7" t="str">
        <f t="shared" si="8"/>
        <v>Oct</v>
      </c>
      <c r="I364" s="7">
        <f t="shared" si="9"/>
        <v>10</v>
      </c>
    </row>
    <row r="365">
      <c r="A365" s="6">
        <f t="shared" si="1"/>
        <v>45943</v>
      </c>
      <c r="B365" s="7" t="str">
        <f t="shared" si="2"/>
        <v>Laptop</v>
      </c>
      <c r="C365" s="7" t="str">
        <f t="shared" si="3"/>
        <v>Electronics</v>
      </c>
      <c r="D365" s="7" t="str">
        <f t="shared" si="4"/>
        <v>North</v>
      </c>
      <c r="E365" s="8">
        <f t="shared" si="5"/>
        <v>1953</v>
      </c>
      <c r="F365" s="8">
        <f t="shared" si="6"/>
        <v>468.72</v>
      </c>
      <c r="G365" s="9">
        <f t="shared" si="7"/>
        <v>1</v>
      </c>
      <c r="H365" s="7" t="str">
        <f t="shared" si="8"/>
        <v>Oct</v>
      </c>
      <c r="I365" s="7">
        <f t="shared" si="9"/>
        <v>10</v>
      </c>
    </row>
    <row r="366">
      <c r="A366" s="6">
        <f t="shared" si="1"/>
        <v>45757</v>
      </c>
      <c r="B366" s="7" t="str">
        <f t="shared" si="2"/>
        <v>Monitor</v>
      </c>
      <c r="C366" s="7" t="str">
        <f t="shared" si="3"/>
        <v>Electronics</v>
      </c>
      <c r="D366" s="7" t="str">
        <f t="shared" si="4"/>
        <v>South</v>
      </c>
      <c r="E366" s="8">
        <f t="shared" si="5"/>
        <v>1875</v>
      </c>
      <c r="F366" s="8">
        <f t="shared" si="6"/>
        <v>206.25</v>
      </c>
      <c r="G366" s="9">
        <f t="shared" si="7"/>
        <v>2</v>
      </c>
      <c r="H366" s="7" t="str">
        <f t="shared" si="8"/>
        <v>Apr</v>
      </c>
      <c r="I366" s="7">
        <f t="shared" si="9"/>
        <v>4</v>
      </c>
    </row>
    <row r="367">
      <c r="A367" s="6">
        <f t="shared" si="1"/>
        <v>46022</v>
      </c>
      <c r="B367" s="7" t="str">
        <f t="shared" si="2"/>
        <v>Monitor</v>
      </c>
      <c r="C367" s="7" t="str">
        <f t="shared" si="3"/>
        <v>Electronics</v>
      </c>
      <c r="D367" s="7" t="str">
        <f t="shared" si="4"/>
        <v>West</v>
      </c>
      <c r="E367" s="8">
        <f t="shared" si="5"/>
        <v>484</v>
      </c>
      <c r="F367" s="8">
        <f t="shared" si="6"/>
        <v>48.4</v>
      </c>
      <c r="G367" s="9">
        <f t="shared" si="7"/>
        <v>8</v>
      </c>
      <c r="H367" s="7" t="str">
        <f t="shared" si="8"/>
        <v>Dec</v>
      </c>
      <c r="I367" s="7">
        <f t="shared" si="9"/>
        <v>12</v>
      </c>
    </row>
    <row r="368">
      <c r="A368" s="6">
        <f t="shared" si="1"/>
        <v>45890</v>
      </c>
      <c r="B368" s="7" t="str">
        <f t="shared" si="2"/>
        <v>Phone</v>
      </c>
      <c r="C368" s="7" t="str">
        <f t="shared" si="3"/>
        <v>Electronics</v>
      </c>
      <c r="D368" s="7" t="str">
        <f t="shared" si="4"/>
        <v>North</v>
      </c>
      <c r="E368" s="8">
        <f t="shared" si="5"/>
        <v>1114</v>
      </c>
      <c r="F368" s="8">
        <f t="shared" si="6"/>
        <v>222.8</v>
      </c>
      <c r="G368" s="9">
        <f t="shared" si="7"/>
        <v>4</v>
      </c>
      <c r="H368" s="7" t="str">
        <f t="shared" si="8"/>
        <v>Aug</v>
      </c>
      <c r="I368" s="7">
        <f t="shared" si="9"/>
        <v>8</v>
      </c>
    </row>
    <row r="369">
      <c r="A369" s="6">
        <f t="shared" si="1"/>
        <v>45771</v>
      </c>
      <c r="B369" s="7" t="str">
        <f t="shared" si="2"/>
        <v>Chair</v>
      </c>
      <c r="C369" s="7" t="str">
        <f t="shared" si="3"/>
        <v>Furniture</v>
      </c>
      <c r="D369" s="7" t="str">
        <f t="shared" si="4"/>
        <v>West</v>
      </c>
      <c r="E369" s="8">
        <f t="shared" si="5"/>
        <v>1046</v>
      </c>
      <c r="F369" s="8">
        <f t="shared" si="6"/>
        <v>240.58</v>
      </c>
      <c r="G369" s="9">
        <f t="shared" si="7"/>
        <v>6</v>
      </c>
      <c r="H369" s="7" t="str">
        <f t="shared" si="8"/>
        <v>Apr</v>
      </c>
      <c r="I369" s="7">
        <f t="shared" si="9"/>
        <v>4</v>
      </c>
    </row>
    <row r="370">
      <c r="A370" s="6">
        <f t="shared" si="1"/>
        <v>45938</v>
      </c>
      <c r="B370" s="7" t="str">
        <f t="shared" si="2"/>
        <v>Laptop</v>
      </c>
      <c r="C370" s="7" t="str">
        <f t="shared" si="3"/>
        <v>Electronics</v>
      </c>
      <c r="D370" s="7" t="str">
        <f t="shared" si="4"/>
        <v>East</v>
      </c>
      <c r="E370" s="8">
        <f t="shared" si="5"/>
        <v>1351</v>
      </c>
      <c r="F370" s="8">
        <f t="shared" si="6"/>
        <v>162.12</v>
      </c>
      <c r="G370" s="9">
        <f t="shared" si="7"/>
        <v>10</v>
      </c>
      <c r="H370" s="7" t="str">
        <f t="shared" si="8"/>
        <v>Oct</v>
      </c>
      <c r="I370" s="7">
        <f t="shared" si="9"/>
        <v>10</v>
      </c>
    </row>
    <row r="371">
      <c r="A371" s="6">
        <f t="shared" si="1"/>
        <v>45675</v>
      </c>
      <c r="B371" s="7" t="str">
        <f t="shared" si="2"/>
        <v>Chair</v>
      </c>
      <c r="C371" s="7" t="str">
        <f t="shared" si="3"/>
        <v>Furniture</v>
      </c>
      <c r="D371" s="7" t="str">
        <f t="shared" si="4"/>
        <v>North</v>
      </c>
      <c r="E371" s="8">
        <f t="shared" si="5"/>
        <v>979</v>
      </c>
      <c r="F371" s="8">
        <f t="shared" si="6"/>
        <v>117.48</v>
      </c>
      <c r="G371" s="9">
        <f t="shared" si="7"/>
        <v>2</v>
      </c>
      <c r="H371" s="7" t="str">
        <f t="shared" si="8"/>
        <v>Jan</v>
      </c>
      <c r="I371" s="7">
        <f t="shared" si="9"/>
        <v>1</v>
      </c>
    </row>
    <row r="372">
      <c r="A372" s="6">
        <f t="shared" si="1"/>
        <v>46022</v>
      </c>
      <c r="B372" s="7" t="str">
        <f t="shared" si="2"/>
        <v>Laptop</v>
      </c>
      <c r="C372" s="7" t="str">
        <f t="shared" si="3"/>
        <v>Electronics</v>
      </c>
      <c r="D372" s="7" t="str">
        <f t="shared" si="4"/>
        <v>West</v>
      </c>
      <c r="E372" s="8">
        <f t="shared" si="5"/>
        <v>1743</v>
      </c>
      <c r="F372" s="8">
        <f t="shared" si="6"/>
        <v>209.16</v>
      </c>
      <c r="G372" s="9">
        <f t="shared" si="7"/>
        <v>10</v>
      </c>
      <c r="H372" s="7" t="str">
        <f t="shared" si="8"/>
        <v>Dec</v>
      </c>
      <c r="I372" s="7">
        <f t="shared" si="9"/>
        <v>12</v>
      </c>
    </row>
    <row r="373">
      <c r="A373" s="6">
        <f t="shared" si="1"/>
        <v>45902</v>
      </c>
      <c r="B373" s="7" t="str">
        <f t="shared" si="2"/>
        <v>Monitor</v>
      </c>
      <c r="C373" s="7" t="str">
        <f t="shared" si="3"/>
        <v>Electronics</v>
      </c>
      <c r="D373" s="7" t="str">
        <f t="shared" si="4"/>
        <v>West</v>
      </c>
      <c r="E373" s="8">
        <f t="shared" si="5"/>
        <v>1758</v>
      </c>
      <c r="F373" s="8">
        <f t="shared" si="6"/>
        <v>316.44</v>
      </c>
      <c r="G373" s="9">
        <f t="shared" si="7"/>
        <v>6</v>
      </c>
      <c r="H373" s="7" t="str">
        <f t="shared" si="8"/>
        <v>Sep</v>
      </c>
      <c r="I373" s="7">
        <f t="shared" si="9"/>
        <v>9</v>
      </c>
    </row>
    <row r="374">
      <c r="A374" s="6">
        <f t="shared" si="1"/>
        <v>45986</v>
      </c>
      <c r="B374" s="7" t="str">
        <f t="shared" si="2"/>
        <v>Tablet</v>
      </c>
      <c r="C374" s="7" t="str">
        <f t="shared" si="3"/>
        <v>Electronics</v>
      </c>
      <c r="D374" s="7" t="str">
        <f t="shared" si="4"/>
        <v>East</v>
      </c>
      <c r="E374" s="8">
        <f t="shared" si="5"/>
        <v>1883</v>
      </c>
      <c r="F374" s="8">
        <f t="shared" si="6"/>
        <v>376.6</v>
      </c>
      <c r="G374" s="9">
        <f t="shared" si="7"/>
        <v>2</v>
      </c>
      <c r="H374" s="7" t="str">
        <f t="shared" si="8"/>
        <v>Nov</v>
      </c>
      <c r="I374" s="7">
        <f t="shared" si="9"/>
        <v>11</v>
      </c>
    </row>
    <row r="375">
      <c r="A375" s="6">
        <f t="shared" si="1"/>
        <v>45941</v>
      </c>
      <c r="B375" s="7" t="str">
        <f t="shared" si="2"/>
        <v>Tablet</v>
      </c>
      <c r="C375" s="7" t="str">
        <f t="shared" si="3"/>
        <v>Electronics</v>
      </c>
      <c r="D375" s="7" t="str">
        <f t="shared" si="4"/>
        <v>South</v>
      </c>
      <c r="E375" s="8">
        <f t="shared" si="5"/>
        <v>1210</v>
      </c>
      <c r="F375" s="8">
        <f t="shared" si="6"/>
        <v>217.8</v>
      </c>
      <c r="G375" s="9">
        <f t="shared" si="7"/>
        <v>2</v>
      </c>
      <c r="H375" s="7" t="str">
        <f t="shared" si="8"/>
        <v>Oct</v>
      </c>
      <c r="I375" s="7">
        <f t="shared" si="9"/>
        <v>10</v>
      </c>
    </row>
    <row r="376">
      <c r="A376" s="6">
        <f t="shared" si="1"/>
        <v>45666</v>
      </c>
      <c r="B376" s="7" t="str">
        <f t="shared" si="2"/>
        <v>Laptop</v>
      </c>
      <c r="C376" s="7" t="str">
        <f t="shared" si="3"/>
        <v>Electronics</v>
      </c>
      <c r="D376" s="7" t="str">
        <f t="shared" si="4"/>
        <v>West</v>
      </c>
      <c r="E376" s="8">
        <f t="shared" si="5"/>
        <v>500</v>
      </c>
      <c r="F376" s="8">
        <f t="shared" si="6"/>
        <v>125</v>
      </c>
      <c r="G376" s="9">
        <f t="shared" si="7"/>
        <v>10</v>
      </c>
      <c r="H376" s="7" t="str">
        <f t="shared" si="8"/>
        <v>Jan</v>
      </c>
      <c r="I376" s="7">
        <f t="shared" si="9"/>
        <v>1</v>
      </c>
    </row>
    <row r="377">
      <c r="A377" s="6">
        <f t="shared" si="1"/>
        <v>45964</v>
      </c>
      <c r="B377" s="7" t="str">
        <f t="shared" si="2"/>
        <v>Tablet</v>
      </c>
      <c r="C377" s="7" t="str">
        <f t="shared" si="3"/>
        <v>Electronics</v>
      </c>
      <c r="D377" s="7" t="str">
        <f t="shared" si="4"/>
        <v>North</v>
      </c>
      <c r="E377" s="8">
        <f t="shared" si="5"/>
        <v>1101</v>
      </c>
      <c r="F377" s="8">
        <f t="shared" si="6"/>
        <v>143.13</v>
      </c>
      <c r="G377" s="9">
        <f t="shared" si="7"/>
        <v>9</v>
      </c>
      <c r="H377" s="7" t="str">
        <f t="shared" si="8"/>
        <v>Nov</v>
      </c>
      <c r="I377" s="7">
        <f t="shared" si="9"/>
        <v>11</v>
      </c>
    </row>
    <row r="378">
      <c r="A378" s="6">
        <f t="shared" si="1"/>
        <v>45723</v>
      </c>
      <c r="B378" s="7" t="str">
        <f t="shared" si="2"/>
        <v>Laptop</v>
      </c>
      <c r="C378" s="7" t="str">
        <f t="shared" si="3"/>
        <v>Electronics</v>
      </c>
      <c r="D378" s="7" t="str">
        <f t="shared" si="4"/>
        <v>West</v>
      </c>
      <c r="E378" s="8">
        <f t="shared" si="5"/>
        <v>577</v>
      </c>
      <c r="F378" s="8">
        <f t="shared" si="6"/>
        <v>155.79</v>
      </c>
      <c r="G378" s="9">
        <f t="shared" si="7"/>
        <v>6</v>
      </c>
      <c r="H378" s="7" t="str">
        <f t="shared" si="8"/>
        <v>Mar</v>
      </c>
      <c r="I378" s="7">
        <f t="shared" si="9"/>
        <v>3</v>
      </c>
    </row>
    <row r="379">
      <c r="A379" s="6">
        <f t="shared" si="1"/>
        <v>45723</v>
      </c>
      <c r="B379" s="7" t="str">
        <f t="shared" si="2"/>
        <v>Laptop</v>
      </c>
      <c r="C379" s="7" t="str">
        <f t="shared" si="3"/>
        <v>Electronics</v>
      </c>
      <c r="D379" s="7" t="str">
        <f t="shared" si="4"/>
        <v>North</v>
      </c>
      <c r="E379" s="8">
        <f t="shared" si="5"/>
        <v>1060</v>
      </c>
      <c r="F379" s="8">
        <f t="shared" si="6"/>
        <v>275.6</v>
      </c>
      <c r="G379" s="9">
        <f t="shared" si="7"/>
        <v>1</v>
      </c>
      <c r="H379" s="7" t="str">
        <f t="shared" si="8"/>
        <v>Mar</v>
      </c>
      <c r="I379" s="7">
        <f t="shared" si="9"/>
        <v>3</v>
      </c>
    </row>
    <row r="380">
      <c r="A380" s="6">
        <f t="shared" si="1"/>
        <v>45879</v>
      </c>
      <c r="B380" s="7" t="str">
        <f t="shared" si="2"/>
        <v>Table</v>
      </c>
      <c r="C380" s="7" t="str">
        <f t="shared" si="3"/>
        <v>Furniture</v>
      </c>
      <c r="D380" s="7" t="str">
        <f t="shared" si="4"/>
        <v>West</v>
      </c>
      <c r="E380" s="8">
        <f t="shared" si="5"/>
        <v>1974</v>
      </c>
      <c r="F380" s="8">
        <f t="shared" si="6"/>
        <v>592.2</v>
      </c>
      <c r="G380" s="9">
        <f t="shared" si="7"/>
        <v>7</v>
      </c>
      <c r="H380" s="7" t="str">
        <f t="shared" si="8"/>
        <v>Aug</v>
      </c>
      <c r="I380" s="7">
        <f t="shared" si="9"/>
        <v>8</v>
      </c>
    </row>
    <row r="381">
      <c r="A381" s="6">
        <f t="shared" si="1"/>
        <v>45659</v>
      </c>
      <c r="B381" s="7" t="str">
        <f t="shared" si="2"/>
        <v>Chair</v>
      </c>
      <c r="C381" s="7" t="str">
        <f t="shared" si="3"/>
        <v>Furniture</v>
      </c>
      <c r="D381" s="7" t="str">
        <f t="shared" si="4"/>
        <v>East</v>
      </c>
      <c r="E381" s="8">
        <f t="shared" si="5"/>
        <v>1821</v>
      </c>
      <c r="F381" s="8">
        <f t="shared" si="6"/>
        <v>345.99</v>
      </c>
      <c r="G381" s="9">
        <f t="shared" si="7"/>
        <v>2</v>
      </c>
      <c r="H381" s="7" t="str">
        <f t="shared" si="8"/>
        <v>Jan</v>
      </c>
      <c r="I381" s="7">
        <f t="shared" si="9"/>
        <v>1</v>
      </c>
    </row>
    <row r="382">
      <c r="A382" s="6">
        <f t="shared" si="1"/>
        <v>45738</v>
      </c>
      <c r="B382" s="7" t="str">
        <f t="shared" si="2"/>
        <v>Chair</v>
      </c>
      <c r="C382" s="7" t="str">
        <f t="shared" si="3"/>
        <v>Furniture</v>
      </c>
      <c r="D382" s="7" t="str">
        <f t="shared" si="4"/>
        <v>South</v>
      </c>
      <c r="E382" s="8">
        <f t="shared" si="5"/>
        <v>774</v>
      </c>
      <c r="F382" s="8">
        <f t="shared" si="6"/>
        <v>185.76</v>
      </c>
      <c r="G382" s="9">
        <f t="shared" si="7"/>
        <v>5</v>
      </c>
      <c r="H382" s="7" t="str">
        <f t="shared" si="8"/>
        <v>Mar</v>
      </c>
      <c r="I382" s="7">
        <f t="shared" si="9"/>
        <v>3</v>
      </c>
    </row>
    <row r="383">
      <c r="A383" s="6">
        <f t="shared" si="1"/>
        <v>45705</v>
      </c>
      <c r="B383" s="7" t="str">
        <f t="shared" si="2"/>
        <v>Chair</v>
      </c>
      <c r="C383" s="7" t="str">
        <f t="shared" si="3"/>
        <v>Furniture</v>
      </c>
      <c r="D383" s="7" t="str">
        <f t="shared" si="4"/>
        <v>West</v>
      </c>
      <c r="E383" s="8">
        <f t="shared" si="5"/>
        <v>479</v>
      </c>
      <c r="F383" s="8">
        <f t="shared" si="6"/>
        <v>100.59</v>
      </c>
      <c r="G383" s="9">
        <f t="shared" si="7"/>
        <v>2</v>
      </c>
      <c r="H383" s="7" t="str">
        <f t="shared" si="8"/>
        <v>Feb</v>
      </c>
      <c r="I383" s="7">
        <f t="shared" si="9"/>
        <v>2</v>
      </c>
    </row>
    <row r="384">
      <c r="A384" s="6">
        <f t="shared" si="1"/>
        <v>45756</v>
      </c>
      <c r="B384" s="7" t="str">
        <f t="shared" si="2"/>
        <v>Phone</v>
      </c>
      <c r="C384" s="7" t="str">
        <f t="shared" si="3"/>
        <v>Electronics</v>
      </c>
      <c r="D384" s="7" t="str">
        <f t="shared" si="4"/>
        <v>South</v>
      </c>
      <c r="E384" s="8">
        <f t="shared" si="5"/>
        <v>510</v>
      </c>
      <c r="F384" s="8">
        <f t="shared" si="6"/>
        <v>81.6</v>
      </c>
      <c r="G384" s="9">
        <f t="shared" si="7"/>
        <v>7</v>
      </c>
      <c r="H384" s="7" t="str">
        <f t="shared" si="8"/>
        <v>Apr</v>
      </c>
      <c r="I384" s="7">
        <f t="shared" si="9"/>
        <v>4</v>
      </c>
    </row>
    <row r="385">
      <c r="A385" s="6">
        <f t="shared" si="1"/>
        <v>45961</v>
      </c>
      <c r="B385" s="7" t="str">
        <f t="shared" si="2"/>
        <v>Chair</v>
      </c>
      <c r="C385" s="7" t="str">
        <f t="shared" si="3"/>
        <v>Furniture</v>
      </c>
      <c r="D385" s="7" t="str">
        <f t="shared" si="4"/>
        <v>East</v>
      </c>
      <c r="E385" s="8">
        <f t="shared" si="5"/>
        <v>1911</v>
      </c>
      <c r="F385" s="8">
        <f t="shared" si="6"/>
        <v>363.09</v>
      </c>
      <c r="G385" s="9">
        <f t="shared" si="7"/>
        <v>3</v>
      </c>
      <c r="H385" s="7" t="str">
        <f t="shared" si="8"/>
        <v>Oct</v>
      </c>
      <c r="I385" s="7">
        <f t="shared" si="9"/>
        <v>10</v>
      </c>
    </row>
    <row r="386">
      <c r="A386" s="6">
        <f t="shared" si="1"/>
        <v>45811</v>
      </c>
      <c r="B386" s="7" t="str">
        <f t="shared" si="2"/>
        <v>Laptop</v>
      </c>
      <c r="C386" s="7" t="str">
        <f t="shared" si="3"/>
        <v>Electronics</v>
      </c>
      <c r="D386" s="7" t="str">
        <f t="shared" si="4"/>
        <v>South</v>
      </c>
      <c r="E386" s="8">
        <f t="shared" si="5"/>
        <v>862</v>
      </c>
      <c r="F386" s="8">
        <f t="shared" si="6"/>
        <v>232.74</v>
      </c>
      <c r="G386" s="9">
        <f t="shared" si="7"/>
        <v>8</v>
      </c>
      <c r="H386" s="7" t="str">
        <f t="shared" si="8"/>
        <v>Jun</v>
      </c>
      <c r="I386" s="7">
        <f t="shared" si="9"/>
        <v>6</v>
      </c>
    </row>
    <row r="387">
      <c r="A387" s="6">
        <f t="shared" si="1"/>
        <v>45920</v>
      </c>
      <c r="B387" s="7" t="str">
        <f t="shared" si="2"/>
        <v>Table</v>
      </c>
      <c r="C387" s="7" t="str">
        <f t="shared" si="3"/>
        <v>Furniture</v>
      </c>
      <c r="D387" s="7" t="str">
        <f t="shared" si="4"/>
        <v>East</v>
      </c>
      <c r="E387" s="8">
        <f t="shared" si="5"/>
        <v>1117</v>
      </c>
      <c r="F387" s="8">
        <f t="shared" si="6"/>
        <v>201.06</v>
      </c>
      <c r="G387" s="9">
        <f t="shared" si="7"/>
        <v>10</v>
      </c>
      <c r="H387" s="7" t="str">
        <f t="shared" si="8"/>
        <v>Sep</v>
      </c>
      <c r="I387" s="7">
        <f t="shared" si="9"/>
        <v>9</v>
      </c>
    </row>
    <row r="388">
      <c r="A388" s="6">
        <f t="shared" si="1"/>
        <v>45839</v>
      </c>
      <c r="B388" s="7" t="str">
        <f t="shared" si="2"/>
        <v>Chair</v>
      </c>
      <c r="C388" s="7" t="str">
        <f t="shared" si="3"/>
        <v>Furniture</v>
      </c>
      <c r="D388" s="7" t="str">
        <f t="shared" si="4"/>
        <v>East</v>
      </c>
      <c r="E388" s="8">
        <f t="shared" si="5"/>
        <v>550</v>
      </c>
      <c r="F388" s="8">
        <f t="shared" si="6"/>
        <v>143</v>
      </c>
      <c r="G388" s="9">
        <f t="shared" si="7"/>
        <v>6</v>
      </c>
      <c r="H388" s="7" t="str">
        <f t="shared" si="8"/>
        <v>Jul</v>
      </c>
      <c r="I388" s="7">
        <f t="shared" si="9"/>
        <v>7</v>
      </c>
    </row>
    <row r="389">
      <c r="A389" s="6">
        <f t="shared" si="1"/>
        <v>45947</v>
      </c>
      <c r="B389" s="7" t="str">
        <f t="shared" si="2"/>
        <v>Chair</v>
      </c>
      <c r="C389" s="7" t="str">
        <f t="shared" si="3"/>
        <v>Furniture</v>
      </c>
      <c r="D389" s="7" t="str">
        <f t="shared" si="4"/>
        <v>West</v>
      </c>
      <c r="E389" s="8">
        <f t="shared" si="5"/>
        <v>1196</v>
      </c>
      <c r="F389" s="8">
        <f t="shared" si="6"/>
        <v>251.16</v>
      </c>
      <c r="G389" s="9">
        <f t="shared" si="7"/>
        <v>7</v>
      </c>
      <c r="H389" s="7" t="str">
        <f t="shared" si="8"/>
        <v>Oct</v>
      </c>
      <c r="I389" s="7">
        <f t="shared" si="9"/>
        <v>10</v>
      </c>
    </row>
    <row r="390">
      <c r="A390" s="6">
        <f t="shared" si="1"/>
        <v>45747</v>
      </c>
      <c r="B390" s="7" t="str">
        <f t="shared" si="2"/>
        <v>Laptop</v>
      </c>
      <c r="C390" s="7" t="str">
        <f t="shared" si="3"/>
        <v>Electronics</v>
      </c>
      <c r="D390" s="7" t="str">
        <f t="shared" si="4"/>
        <v>South</v>
      </c>
      <c r="E390" s="8">
        <f t="shared" si="5"/>
        <v>1572</v>
      </c>
      <c r="F390" s="8">
        <f t="shared" si="6"/>
        <v>220.08</v>
      </c>
      <c r="G390" s="9">
        <f t="shared" si="7"/>
        <v>6</v>
      </c>
      <c r="H390" s="7" t="str">
        <f t="shared" si="8"/>
        <v>Mar</v>
      </c>
      <c r="I390" s="7">
        <f t="shared" si="9"/>
        <v>3</v>
      </c>
    </row>
    <row r="391">
      <c r="A391" s="6">
        <f t="shared" si="1"/>
        <v>45775</v>
      </c>
      <c r="B391" s="7" t="str">
        <f t="shared" si="2"/>
        <v>Chair</v>
      </c>
      <c r="C391" s="7" t="str">
        <f t="shared" si="3"/>
        <v>Furniture</v>
      </c>
      <c r="D391" s="7" t="str">
        <f t="shared" si="4"/>
        <v>North</v>
      </c>
      <c r="E391" s="8">
        <f t="shared" si="5"/>
        <v>1593</v>
      </c>
      <c r="F391" s="8">
        <f t="shared" si="6"/>
        <v>254.88</v>
      </c>
      <c r="G391" s="9">
        <f t="shared" si="7"/>
        <v>5</v>
      </c>
      <c r="H391" s="7" t="str">
        <f t="shared" si="8"/>
        <v>Apr</v>
      </c>
      <c r="I391" s="7">
        <f t="shared" si="9"/>
        <v>4</v>
      </c>
    </row>
    <row r="392">
      <c r="A392" s="6">
        <f t="shared" si="1"/>
        <v>45709</v>
      </c>
      <c r="B392" s="7" t="str">
        <f t="shared" si="2"/>
        <v>Laptop</v>
      </c>
      <c r="C392" s="7" t="str">
        <f t="shared" si="3"/>
        <v>Electronics</v>
      </c>
      <c r="D392" s="7" t="str">
        <f t="shared" si="4"/>
        <v>West</v>
      </c>
      <c r="E392" s="8">
        <f t="shared" si="5"/>
        <v>842</v>
      </c>
      <c r="F392" s="8">
        <f t="shared" si="6"/>
        <v>126.3</v>
      </c>
      <c r="G392" s="9">
        <f t="shared" si="7"/>
        <v>2</v>
      </c>
      <c r="H392" s="7" t="str">
        <f t="shared" si="8"/>
        <v>Feb</v>
      </c>
      <c r="I392" s="7">
        <f t="shared" si="9"/>
        <v>2</v>
      </c>
    </row>
    <row r="393">
      <c r="A393" s="6">
        <f t="shared" si="1"/>
        <v>45658</v>
      </c>
      <c r="B393" s="7" t="str">
        <f t="shared" si="2"/>
        <v>Laptop</v>
      </c>
      <c r="C393" s="7" t="str">
        <f t="shared" si="3"/>
        <v>Electronics</v>
      </c>
      <c r="D393" s="7" t="str">
        <f t="shared" si="4"/>
        <v>South</v>
      </c>
      <c r="E393" s="8">
        <f t="shared" si="5"/>
        <v>1378</v>
      </c>
      <c r="F393" s="8">
        <f t="shared" si="6"/>
        <v>137.8</v>
      </c>
      <c r="G393" s="9">
        <f t="shared" si="7"/>
        <v>7</v>
      </c>
      <c r="H393" s="7" t="str">
        <f t="shared" si="8"/>
        <v>Jan</v>
      </c>
      <c r="I393" s="7">
        <f t="shared" si="9"/>
        <v>1</v>
      </c>
    </row>
    <row r="394">
      <c r="A394" s="6">
        <f t="shared" si="1"/>
        <v>45927</v>
      </c>
      <c r="B394" s="7" t="str">
        <f t="shared" si="2"/>
        <v>Chair</v>
      </c>
      <c r="C394" s="7" t="str">
        <f t="shared" si="3"/>
        <v>Furniture</v>
      </c>
      <c r="D394" s="7" t="str">
        <f t="shared" si="4"/>
        <v>West</v>
      </c>
      <c r="E394" s="8">
        <f t="shared" si="5"/>
        <v>1474</v>
      </c>
      <c r="F394" s="8">
        <f t="shared" si="6"/>
        <v>176.88</v>
      </c>
      <c r="G394" s="9">
        <f t="shared" si="7"/>
        <v>10</v>
      </c>
      <c r="H394" s="7" t="str">
        <f t="shared" si="8"/>
        <v>Sep</v>
      </c>
      <c r="I394" s="7">
        <f t="shared" si="9"/>
        <v>9</v>
      </c>
    </row>
    <row r="395">
      <c r="A395" s="6">
        <f t="shared" si="1"/>
        <v>45673</v>
      </c>
      <c r="B395" s="7" t="str">
        <f t="shared" si="2"/>
        <v>Tablet</v>
      </c>
      <c r="C395" s="7" t="str">
        <f t="shared" si="3"/>
        <v>Electronics</v>
      </c>
      <c r="D395" s="7" t="str">
        <f t="shared" si="4"/>
        <v>East</v>
      </c>
      <c r="E395" s="8">
        <f t="shared" si="5"/>
        <v>471</v>
      </c>
      <c r="F395" s="8">
        <f t="shared" si="6"/>
        <v>47.1</v>
      </c>
      <c r="G395" s="9">
        <f t="shared" si="7"/>
        <v>5</v>
      </c>
      <c r="H395" s="7" t="str">
        <f t="shared" si="8"/>
        <v>Jan</v>
      </c>
      <c r="I395" s="7">
        <f t="shared" si="9"/>
        <v>1</v>
      </c>
    </row>
    <row r="396">
      <c r="A396" s="6">
        <f t="shared" si="1"/>
        <v>45992</v>
      </c>
      <c r="B396" s="7" t="str">
        <f t="shared" si="2"/>
        <v>Laptop</v>
      </c>
      <c r="C396" s="7" t="str">
        <f t="shared" si="3"/>
        <v>Electronics</v>
      </c>
      <c r="D396" s="7" t="str">
        <f t="shared" si="4"/>
        <v>North</v>
      </c>
      <c r="E396" s="8">
        <f t="shared" si="5"/>
        <v>342</v>
      </c>
      <c r="F396" s="8">
        <f t="shared" si="6"/>
        <v>61.56</v>
      </c>
      <c r="G396" s="9">
        <f t="shared" si="7"/>
        <v>6</v>
      </c>
      <c r="H396" s="7" t="str">
        <f t="shared" si="8"/>
        <v>Dec</v>
      </c>
      <c r="I396" s="7">
        <f t="shared" si="9"/>
        <v>12</v>
      </c>
    </row>
    <row r="397">
      <c r="A397" s="6">
        <f t="shared" si="1"/>
        <v>45713</v>
      </c>
      <c r="B397" s="7" t="str">
        <f t="shared" si="2"/>
        <v>Table</v>
      </c>
      <c r="C397" s="7" t="str">
        <f t="shared" si="3"/>
        <v>Furniture</v>
      </c>
      <c r="D397" s="7" t="str">
        <f t="shared" si="4"/>
        <v>North</v>
      </c>
      <c r="E397" s="8">
        <f t="shared" si="5"/>
        <v>452</v>
      </c>
      <c r="F397" s="8">
        <f t="shared" si="6"/>
        <v>63.28</v>
      </c>
      <c r="G397" s="9">
        <f t="shared" si="7"/>
        <v>9</v>
      </c>
      <c r="H397" s="7" t="str">
        <f t="shared" si="8"/>
        <v>Feb</v>
      </c>
      <c r="I397" s="7">
        <f t="shared" si="9"/>
        <v>2</v>
      </c>
    </row>
    <row r="398">
      <c r="A398" s="6">
        <f t="shared" si="1"/>
        <v>45997</v>
      </c>
      <c r="B398" s="7" t="str">
        <f t="shared" si="2"/>
        <v>Tablet</v>
      </c>
      <c r="C398" s="7" t="str">
        <f t="shared" si="3"/>
        <v>Electronics</v>
      </c>
      <c r="D398" s="7" t="str">
        <f t="shared" si="4"/>
        <v>West</v>
      </c>
      <c r="E398" s="8">
        <f t="shared" si="5"/>
        <v>1554</v>
      </c>
      <c r="F398" s="8">
        <f t="shared" si="6"/>
        <v>170.94</v>
      </c>
      <c r="G398" s="9">
        <f t="shared" si="7"/>
        <v>7</v>
      </c>
      <c r="H398" s="7" t="str">
        <f t="shared" si="8"/>
        <v>Dec</v>
      </c>
      <c r="I398" s="7">
        <f t="shared" si="9"/>
        <v>12</v>
      </c>
    </row>
    <row r="399">
      <c r="A399" s="6">
        <f t="shared" si="1"/>
        <v>45723</v>
      </c>
      <c r="B399" s="7" t="str">
        <f t="shared" si="2"/>
        <v>Table</v>
      </c>
      <c r="C399" s="7" t="str">
        <f t="shared" si="3"/>
        <v>Furniture</v>
      </c>
      <c r="D399" s="7" t="str">
        <f t="shared" si="4"/>
        <v>South</v>
      </c>
      <c r="E399" s="8">
        <f t="shared" si="5"/>
        <v>1697</v>
      </c>
      <c r="F399" s="8">
        <f t="shared" si="6"/>
        <v>186.67</v>
      </c>
      <c r="G399" s="9">
        <f t="shared" si="7"/>
        <v>9</v>
      </c>
      <c r="H399" s="7" t="str">
        <f t="shared" si="8"/>
        <v>Mar</v>
      </c>
      <c r="I399" s="7">
        <f t="shared" si="9"/>
        <v>3</v>
      </c>
    </row>
    <row r="400">
      <c r="A400" s="6">
        <f t="shared" si="1"/>
        <v>45711</v>
      </c>
      <c r="B400" s="7" t="str">
        <f t="shared" si="2"/>
        <v>Chair</v>
      </c>
      <c r="C400" s="7" t="str">
        <f t="shared" si="3"/>
        <v>Furniture</v>
      </c>
      <c r="D400" s="7" t="str">
        <f t="shared" si="4"/>
        <v>West</v>
      </c>
      <c r="E400" s="8">
        <f t="shared" si="5"/>
        <v>1991</v>
      </c>
      <c r="F400" s="8">
        <f t="shared" si="6"/>
        <v>537.57</v>
      </c>
      <c r="G400" s="9">
        <f t="shared" si="7"/>
        <v>6</v>
      </c>
      <c r="H400" s="7" t="str">
        <f t="shared" si="8"/>
        <v>Feb</v>
      </c>
      <c r="I400" s="7">
        <f t="shared" si="9"/>
        <v>2</v>
      </c>
    </row>
    <row r="401">
      <c r="A401" s="6">
        <f t="shared" si="1"/>
        <v>45750</v>
      </c>
      <c r="B401" s="7" t="str">
        <f t="shared" si="2"/>
        <v>Monitor</v>
      </c>
      <c r="C401" s="7" t="str">
        <f t="shared" si="3"/>
        <v>Electronics</v>
      </c>
      <c r="D401" s="7" t="str">
        <f t="shared" si="4"/>
        <v>North</v>
      </c>
      <c r="E401" s="8">
        <f t="shared" si="5"/>
        <v>672</v>
      </c>
      <c r="F401" s="8">
        <f t="shared" si="6"/>
        <v>194.88</v>
      </c>
      <c r="G401" s="9">
        <f t="shared" si="7"/>
        <v>3</v>
      </c>
      <c r="H401" s="7" t="str">
        <f t="shared" si="8"/>
        <v>Apr</v>
      </c>
      <c r="I401" s="7">
        <f t="shared" si="9"/>
        <v>4</v>
      </c>
    </row>
    <row r="402">
      <c r="A402" s="6">
        <f t="shared" si="1"/>
        <v>45979</v>
      </c>
      <c r="B402" s="7" t="str">
        <f t="shared" si="2"/>
        <v>Tablet</v>
      </c>
      <c r="C402" s="7" t="str">
        <f t="shared" si="3"/>
        <v>Electronics</v>
      </c>
      <c r="D402" s="7" t="str">
        <f t="shared" si="4"/>
        <v>North</v>
      </c>
      <c r="E402" s="8">
        <f t="shared" si="5"/>
        <v>473</v>
      </c>
      <c r="F402" s="8">
        <f t="shared" si="6"/>
        <v>56.76</v>
      </c>
      <c r="G402" s="9">
        <f t="shared" si="7"/>
        <v>4</v>
      </c>
      <c r="H402" s="7" t="str">
        <f t="shared" si="8"/>
        <v>Nov</v>
      </c>
      <c r="I402" s="7">
        <f t="shared" si="9"/>
        <v>11</v>
      </c>
    </row>
    <row r="403">
      <c r="A403" s="6">
        <f t="shared" si="1"/>
        <v>45815</v>
      </c>
      <c r="B403" s="7" t="str">
        <f t="shared" si="2"/>
        <v>Phone</v>
      </c>
      <c r="C403" s="7" t="str">
        <f t="shared" si="3"/>
        <v>Electronics</v>
      </c>
      <c r="D403" s="7" t="str">
        <f t="shared" si="4"/>
        <v>North</v>
      </c>
      <c r="E403" s="8">
        <f t="shared" si="5"/>
        <v>1517</v>
      </c>
      <c r="F403" s="8">
        <f t="shared" si="6"/>
        <v>455.1</v>
      </c>
      <c r="G403" s="9">
        <f t="shared" si="7"/>
        <v>10</v>
      </c>
      <c r="H403" s="7" t="str">
        <f t="shared" si="8"/>
        <v>Jun</v>
      </c>
      <c r="I403" s="7">
        <f t="shared" si="9"/>
        <v>6</v>
      </c>
    </row>
    <row r="404">
      <c r="A404" s="6">
        <f t="shared" si="1"/>
        <v>45985</v>
      </c>
      <c r="B404" s="7" t="str">
        <f t="shared" si="2"/>
        <v>Laptop</v>
      </c>
      <c r="C404" s="7" t="str">
        <f t="shared" si="3"/>
        <v>Electronics</v>
      </c>
      <c r="D404" s="7" t="str">
        <f t="shared" si="4"/>
        <v>South</v>
      </c>
      <c r="E404" s="8">
        <f t="shared" si="5"/>
        <v>1288</v>
      </c>
      <c r="F404" s="8">
        <f t="shared" si="6"/>
        <v>154.56</v>
      </c>
      <c r="G404" s="9">
        <f t="shared" si="7"/>
        <v>6</v>
      </c>
      <c r="H404" s="7" t="str">
        <f t="shared" si="8"/>
        <v>Nov</v>
      </c>
      <c r="I404" s="7">
        <f t="shared" si="9"/>
        <v>11</v>
      </c>
    </row>
    <row r="405">
      <c r="A405" s="6">
        <f t="shared" si="1"/>
        <v>45727</v>
      </c>
      <c r="B405" s="7" t="str">
        <f t="shared" si="2"/>
        <v>Monitor</v>
      </c>
      <c r="C405" s="7" t="str">
        <f t="shared" si="3"/>
        <v>Electronics</v>
      </c>
      <c r="D405" s="7" t="str">
        <f t="shared" si="4"/>
        <v>East</v>
      </c>
      <c r="E405" s="8">
        <f t="shared" si="5"/>
        <v>1868</v>
      </c>
      <c r="F405" s="8">
        <f t="shared" si="6"/>
        <v>448.32</v>
      </c>
      <c r="G405" s="9">
        <f t="shared" si="7"/>
        <v>8</v>
      </c>
      <c r="H405" s="7" t="str">
        <f t="shared" si="8"/>
        <v>Mar</v>
      </c>
      <c r="I405" s="7">
        <f t="shared" si="9"/>
        <v>3</v>
      </c>
    </row>
    <row r="406">
      <c r="A406" s="6">
        <f t="shared" si="1"/>
        <v>45927</v>
      </c>
      <c r="B406" s="7" t="str">
        <f t="shared" si="2"/>
        <v>Chair</v>
      </c>
      <c r="C406" s="7" t="str">
        <f t="shared" si="3"/>
        <v>Furniture</v>
      </c>
      <c r="D406" s="7" t="str">
        <f t="shared" si="4"/>
        <v>West</v>
      </c>
      <c r="E406" s="8">
        <f t="shared" si="5"/>
        <v>1660</v>
      </c>
      <c r="F406" s="8">
        <f t="shared" si="6"/>
        <v>249</v>
      </c>
      <c r="G406" s="9">
        <f t="shared" si="7"/>
        <v>4</v>
      </c>
      <c r="H406" s="7" t="str">
        <f t="shared" si="8"/>
        <v>Sep</v>
      </c>
      <c r="I406" s="7">
        <f t="shared" si="9"/>
        <v>9</v>
      </c>
    </row>
    <row r="407">
      <c r="A407" s="6">
        <f t="shared" si="1"/>
        <v>45878</v>
      </c>
      <c r="B407" s="7" t="str">
        <f t="shared" si="2"/>
        <v>Chair</v>
      </c>
      <c r="C407" s="7" t="str">
        <f t="shared" si="3"/>
        <v>Furniture</v>
      </c>
      <c r="D407" s="7" t="str">
        <f t="shared" si="4"/>
        <v>North</v>
      </c>
      <c r="E407" s="8">
        <f t="shared" si="5"/>
        <v>1357</v>
      </c>
      <c r="F407" s="8">
        <f t="shared" si="6"/>
        <v>325.68</v>
      </c>
      <c r="G407" s="9">
        <f t="shared" si="7"/>
        <v>10</v>
      </c>
      <c r="H407" s="7" t="str">
        <f t="shared" si="8"/>
        <v>Aug</v>
      </c>
      <c r="I407" s="7">
        <f t="shared" si="9"/>
        <v>8</v>
      </c>
    </row>
    <row r="408">
      <c r="A408" s="6">
        <f t="shared" si="1"/>
        <v>45798</v>
      </c>
      <c r="B408" s="7" t="str">
        <f t="shared" si="2"/>
        <v>Phone</v>
      </c>
      <c r="C408" s="7" t="str">
        <f t="shared" si="3"/>
        <v>Electronics</v>
      </c>
      <c r="D408" s="7" t="str">
        <f t="shared" si="4"/>
        <v>East</v>
      </c>
      <c r="E408" s="8">
        <f t="shared" si="5"/>
        <v>1009</v>
      </c>
      <c r="F408" s="8">
        <f t="shared" si="6"/>
        <v>302.7</v>
      </c>
      <c r="G408" s="9">
        <f t="shared" si="7"/>
        <v>5</v>
      </c>
      <c r="H408" s="7" t="str">
        <f t="shared" si="8"/>
        <v>May</v>
      </c>
      <c r="I408" s="7">
        <f t="shared" si="9"/>
        <v>5</v>
      </c>
    </row>
    <row r="409">
      <c r="A409" s="6">
        <f t="shared" si="1"/>
        <v>45693</v>
      </c>
      <c r="B409" s="7" t="str">
        <f t="shared" si="2"/>
        <v>Tablet</v>
      </c>
      <c r="C409" s="7" t="str">
        <f t="shared" si="3"/>
        <v>Electronics</v>
      </c>
      <c r="D409" s="7" t="str">
        <f t="shared" si="4"/>
        <v>East</v>
      </c>
      <c r="E409" s="8">
        <f t="shared" si="5"/>
        <v>897</v>
      </c>
      <c r="F409" s="8">
        <f t="shared" si="6"/>
        <v>170.43</v>
      </c>
      <c r="G409" s="9">
        <f t="shared" si="7"/>
        <v>10</v>
      </c>
      <c r="H409" s="7" t="str">
        <f t="shared" si="8"/>
        <v>Feb</v>
      </c>
      <c r="I409" s="7">
        <f t="shared" si="9"/>
        <v>2</v>
      </c>
    </row>
    <row r="410">
      <c r="A410" s="6">
        <f t="shared" si="1"/>
        <v>45918</v>
      </c>
      <c r="B410" s="7" t="str">
        <f t="shared" si="2"/>
        <v>Monitor</v>
      </c>
      <c r="C410" s="7" t="str">
        <f t="shared" si="3"/>
        <v>Electronics</v>
      </c>
      <c r="D410" s="7" t="str">
        <f t="shared" si="4"/>
        <v>East</v>
      </c>
      <c r="E410" s="8">
        <f t="shared" si="5"/>
        <v>754</v>
      </c>
      <c r="F410" s="8">
        <f t="shared" si="6"/>
        <v>203.58</v>
      </c>
      <c r="G410" s="9">
        <f t="shared" si="7"/>
        <v>10</v>
      </c>
      <c r="H410" s="7" t="str">
        <f t="shared" si="8"/>
        <v>Sep</v>
      </c>
      <c r="I410" s="7">
        <f t="shared" si="9"/>
        <v>9</v>
      </c>
    </row>
    <row r="411">
      <c r="A411" s="6">
        <f t="shared" si="1"/>
        <v>45912</v>
      </c>
      <c r="B411" s="7" t="str">
        <f t="shared" si="2"/>
        <v>Chair</v>
      </c>
      <c r="C411" s="7" t="str">
        <f t="shared" si="3"/>
        <v>Furniture</v>
      </c>
      <c r="D411" s="7" t="str">
        <f t="shared" si="4"/>
        <v>West</v>
      </c>
      <c r="E411" s="8">
        <f t="shared" si="5"/>
        <v>1707</v>
      </c>
      <c r="F411" s="8">
        <f t="shared" si="6"/>
        <v>426.75</v>
      </c>
      <c r="G411" s="9">
        <f t="shared" si="7"/>
        <v>7</v>
      </c>
      <c r="H411" s="7" t="str">
        <f t="shared" si="8"/>
        <v>Sep</v>
      </c>
      <c r="I411" s="7">
        <f t="shared" si="9"/>
        <v>9</v>
      </c>
    </row>
    <row r="412">
      <c r="A412" s="6">
        <f t="shared" si="1"/>
        <v>46017</v>
      </c>
      <c r="B412" s="7" t="str">
        <f t="shared" si="2"/>
        <v>Monitor</v>
      </c>
      <c r="C412" s="7" t="str">
        <f t="shared" si="3"/>
        <v>Electronics</v>
      </c>
      <c r="D412" s="7" t="str">
        <f t="shared" si="4"/>
        <v>North</v>
      </c>
      <c r="E412" s="8">
        <f t="shared" si="5"/>
        <v>726</v>
      </c>
      <c r="F412" s="8">
        <f t="shared" si="6"/>
        <v>94.38</v>
      </c>
      <c r="G412" s="9">
        <f t="shared" si="7"/>
        <v>9</v>
      </c>
      <c r="H412" s="7" t="str">
        <f t="shared" si="8"/>
        <v>Dec</v>
      </c>
      <c r="I412" s="7">
        <f t="shared" si="9"/>
        <v>12</v>
      </c>
    </row>
    <row r="413">
      <c r="A413" s="6">
        <f t="shared" si="1"/>
        <v>45684</v>
      </c>
      <c r="B413" s="7" t="str">
        <f t="shared" si="2"/>
        <v>Laptop</v>
      </c>
      <c r="C413" s="7" t="str">
        <f t="shared" si="3"/>
        <v>Electronics</v>
      </c>
      <c r="D413" s="7" t="str">
        <f t="shared" si="4"/>
        <v>North</v>
      </c>
      <c r="E413" s="8">
        <f t="shared" si="5"/>
        <v>1362</v>
      </c>
      <c r="F413" s="8">
        <f t="shared" si="6"/>
        <v>231.54</v>
      </c>
      <c r="G413" s="9">
        <f t="shared" si="7"/>
        <v>5</v>
      </c>
      <c r="H413" s="7" t="str">
        <f t="shared" si="8"/>
        <v>Jan</v>
      </c>
      <c r="I413" s="7">
        <f t="shared" si="9"/>
        <v>1</v>
      </c>
    </row>
    <row r="414">
      <c r="A414" s="6">
        <f t="shared" si="1"/>
        <v>45716</v>
      </c>
      <c r="B414" s="7" t="str">
        <f t="shared" si="2"/>
        <v>Chair</v>
      </c>
      <c r="C414" s="7" t="str">
        <f t="shared" si="3"/>
        <v>Furniture</v>
      </c>
      <c r="D414" s="7" t="str">
        <f t="shared" si="4"/>
        <v>West</v>
      </c>
      <c r="E414" s="8">
        <f t="shared" si="5"/>
        <v>258</v>
      </c>
      <c r="F414" s="8">
        <f t="shared" si="6"/>
        <v>30.96</v>
      </c>
      <c r="G414" s="9">
        <f t="shared" si="7"/>
        <v>2</v>
      </c>
      <c r="H414" s="7" t="str">
        <f t="shared" si="8"/>
        <v>Feb</v>
      </c>
      <c r="I414" s="7">
        <f t="shared" si="9"/>
        <v>2</v>
      </c>
    </row>
    <row r="415">
      <c r="A415" s="6">
        <f t="shared" si="1"/>
        <v>45804</v>
      </c>
      <c r="B415" s="7" t="str">
        <f t="shared" si="2"/>
        <v>Chair</v>
      </c>
      <c r="C415" s="7" t="str">
        <f t="shared" si="3"/>
        <v>Furniture</v>
      </c>
      <c r="D415" s="7" t="str">
        <f t="shared" si="4"/>
        <v>North</v>
      </c>
      <c r="E415" s="8">
        <f t="shared" si="5"/>
        <v>1178</v>
      </c>
      <c r="F415" s="8">
        <f t="shared" si="6"/>
        <v>153.14</v>
      </c>
      <c r="G415" s="9">
        <f t="shared" si="7"/>
        <v>1</v>
      </c>
      <c r="H415" s="7" t="str">
        <f t="shared" si="8"/>
        <v>May</v>
      </c>
      <c r="I415" s="7">
        <f t="shared" si="9"/>
        <v>5</v>
      </c>
    </row>
    <row r="416">
      <c r="A416" s="6">
        <f t="shared" si="1"/>
        <v>45875</v>
      </c>
      <c r="B416" s="7" t="str">
        <f t="shared" si="2"/>
        <v>Tablet</v>
      </c>
      <c r="C416" s="7" t="str">
        <f t="shared" si="3"/>
        <v>Electronics</v>
      </c>
      <c r="D416" s="7" t="str">
        <f t="shared" si="4"/>
        <v>West</v>
      </c>
      <c r="E416" s="8">
        <f t="shared" si="5"/>
        <v>1256</v>
      </c>
      <c r="F416" s="8">
        <f t="shared" si="6"/>
        <v>326.56</v>
      </c>
      <c r="G416" s="9">
        <f t="shared" si="7"/>
        <v>4</v>
      </c>
      <c r="H416" s="7" t="str">
        <f t="shared" si="8"/>
        <v>Aug</v>
      </c>
      <c r="I416" s="7">
        <f t="shared" si="9"/>
        <v>8</v>
      </c>
    </row>
    <row r="417">
      <c r="A417" s="6">
        <f t="shared" si="1"/>
        <v>45926</v>
      </c>
      <c r="B417" s="7" t="str">
        <f t="shared" si="2"/>
        <v>Monitor</v>
      </c>
      <c r="C417" s="7" t="str">
        <f t="shared" si="3"/>
        <v>Electronics</v>
      </c>
      <c r="D417" s="7" t="str">
        <f t="shared" si="4"/>
        <v>North</v>
      </c>
      <c r="E417" s="8">
        <f t="shared" si="5"/>
        <v>390</v>
      </c>
      <c r="F417" s="8">
        <f t="shared" si="6"/>
        <v>81.9</v>
      </c>
      <c r="G417" s="9">
        <f t="shared" si="7"/>
        <v>10</v>
      </c>
      <c r="H417" s="7" t="str">
        <f t="shared" si="8"/>
        <v>Sep</v>
      </c>
      <c r="I417" s="7">
        <f t="shared" si="9"/>
        <v>9</v>
      </c>
    </row>
    <row r="418">
      <c r="A418" s="6">
        <f t="shared" si="1"/>
        <v>45660</v>
      </c>
      <c r="B418" s="7" t="str">
        <f t="shared" si="2"/>
        <v>Tablet</v>
      </c>
      <c r="C418" s="7" t="str">
        <f t="shared" si="3"/>
        <v>Electronics</v>
      </c>
      <c r="D418" s="7" t="str">
        <f t="shared" si="4"/>
        <v>West</v>
      </c>
      <c r="E418" s="8">
        <f t="shared" si="5"/>
        <v>1619</v>
      </c>
      <c r="F418" s="8">
        <f t="shared" si="6"/>
        <v>194.28</v>
      </c>
      <c r="G418" s="9">
        <f t="shared" si="7"/>
        <v>4</v>
      </c>
      <c r="H418" s="7" t="str">
        <f t="shared" si="8"/>
        <v>Jan</v>
      </c>
      <c r="I418" s="7">
        <f t="shared" si="9"/>
        <v>1</v>
      </c>
    </row>
    <row r="419">
      <c r="A419" s="6">
        <f t="shared" si="1"/>
        <v>45703</v>
      </c>
      <c r="B419" s="7" t="str">
        <f t="shared" si="2"/>
        <v>Phone</v>
      </c>
      <c r="C419" s="7" t="str">
        <f t="shared" si="3"/>
        <v>Electronics</v>
      </c>
      <c r="D419" s="7" t="str">
        <f t="shared" si="4"/>
        <v>West</v>
      </c>
      <c r="E419" s="8">
        <f t="shared" si="5"/>
        <v>447</v>
      </c>
      <c r="F419" s="8">
        <f t="shared" si="6"/>
        <v>67.05</v>
      </c>
      <c r="G419" s="9">
        <f t="shared" si="7"/>
        <v>7</v>
      </c>
      <c r="H419" s="7" t="str">
        <f t="shared" si="8"/>
        <v>Feb</v>
      </c>
      <c r="I419" s="7">
        <f t="shared" si="9"/>
        <v>2</v>
      </c>
    </row>
    <row r="420">
      <c r="A420" s="6">
        <f t="shared" si="1"/>
        <v>45677</v>
      </c>
      <c r="B420" s="7" t="str">
        <f t="shared" si="2"/>
        <v>Tablet</v>
      </c>
      <c r="C420" s="7" t="str">
        <f t="shared" si="3"/>
        <v>Electronics</v>
      </c>
      <c r="D420" s="7" t="str">
        <f t="shared" si="4"/>
        <v>South</v>
      </c>
      <c r="E420" s="8">
        <f t="shared" si="5"/>
        <v>1264</v>
      </c>
      <c r="F420" s="8">
        <f t="shared" si="6"/>
        <v>227.52</v>
      </c>
      <c r="G420" s="9">
        <f t="shared" si="7"/>
        <v>5</v>
      </c>
      <c r="H420" s="7" t="str">
        <f t="shared" si="8"/>
        <v>Jan</v>
      </c>
      <c r="I420" s="7">
        <f t="shared" si="9"/>
        <v>1</v>
      </c>
    </row>
    <row r="421">
      <c r="A421" s="6">
        <f t="shared" si="1"/>
        <v>45925</v>
      </c>
      <c r="B421" s="7" t="str">
        <f t="shared" si="2"/>
        <v>Laptop</v>
      </c>
      <c r="C421" s="7" t="str">
        <f t="shared" si="3"/>
        <v>Electronics</v>
      </c>
      <c r="D421" s="7" t="str">
        <f t="shared" si="4"/>
        <v>East</v>
      </c>
      <c r="E421" s="8">
        <f t="shared" si="5"/>
        <v>1765</v>
      </c>
      <c r="F421" s="8">
        <f t="shared" si="6"/>
        <v>317.7</v>
      </c>
      <c r="G421" s="9">
        <f t="shared" si="7"/>
        <v>5</v>
      </c>
      <c r="H421" s="7" t="str">
        <f t="shared" si="8"/>
        <v>Sep</v>
      </c>
      <c r="I421" s="7">
        <f t="shared" si="9"/>
        <v>9</v>
      </c>
    </row>
    <row r="422">
      <c r="A422" s="6">
        <f t="shared" si="1"/>
        <v>45881</v>
      </c>
      <c r="B422" s="7" t="str">
        <f t="shared" si="2"/>
        <v>Table</v>
      </c>
      <c r="C422" s="7" t="str">
        <f t="shared" si="3"/>
        <v>Furniture</v>
      </c>
      <c r="D422" s="7" t="str">
        <f t="shared" si="4"/>
        <v>South</v>
      </c>
      <c r="E422" s="8">
        <f t="shared" si="5"/>
        <v>747</v>
      </c>
      <c r="F422" s="8">
        <f t="shared" si="6"/>
        <v>201.69</v>
      </c>
      <c r="G422" s="9">
        <f t="shared" si="7"/>
        <v>6</v>
      </c>
      <c r="H422" s="7" t="str">
        <f t="shared" si="8"/>
        <v>Aug</v>
      </c>
      <c r="I422" s="7">
        <f t="shared" si="9"/>
        <v>8</v>
      </c>
    </row>
    <row r="423">
      <c r="A423" s="6">
        <f t="shared" si="1"/>
        <v>45658</v>
      </c>
      <c r="B423" s="7" t="str">
        <f t="shared" si="2"/>
        <v>Chair</v>
      </c>
      <c r="C423" s="7" t="str">
        <f t="shared" si="3"/>
        <v>Furniture</v>
      </c>
      <c r="D423" s="7" t="str">
        <f t="shared" si="4"/>
        <v>North</v>
      </c>
      <c r="E423" s="8">
        <f t="shared" si="5"/>
        <v>796</v>
      </c>
      <c r="F423" s="8">
        <f t="shared" si="6"/>
        <v>191.04</v>
      </c>
      <c r="G423" s="9">
        <f t="shared" si="7"/>
        <v>6</v>
      </c>
      <c r="H423" s="7" t="str">
        <f t="shared" si="8"/>
        <v>Jan</v>
      </c>
      <c r="I423" s="7">
        <f t="shared" si="9"/>
        <v>1</v>
      </c>
    </row>
    <row r="424">
      <c r="A424" s="6">
        <f t="shared" si="1"/>
        <v>45758</v>
      </c>
      <c r="B424" s="7" t="str">
        <f t="shared" si="2"/>
        <v>Chair</v>
      </c>
      <c r="C424" s="7" t="str">
        <f t="shared" si="3"/>
        <v>Furniture</v>
      </c>
      <c r="D424" s="7" t="str">
        <f t="shared" si="4"/>
        <v>North</v>
      </c>
      <c r="E424" s="8">
        <f t="shared" si="5"/>
        <v>1750</v>
      </c>
      <c r="F424" s="8">
        <f t="shared" si="6"/>
        <v>420</v>
      </c>
      <c r="G424" s="9">
        <f t="shared" si="7"/>
        <v>2</v>
      </c>
      <c r="H424" s="7" t="str">
        <f t="shared" si="8"/>
        <v>Apr</v>
      </c>
      <c r="I424" s="7">
        <f t="shared" si="9"/>
        <v>4</v>
      </c>
    </row>
    <row r="425">
      <c r="A425" s="6">
        <f t="shared" si="1"/>
        <v>45780</v>
      </c>
      <c r="B425" s="7" t="str">
        <f t="shared" si="2"/>
        <v>Laptop</v>
      </c>
      <c r="C425" s="7" t="str">
        <f t="shared" si="3"/>
        <v>Electronics</v>
      </c>
      <c r="D425" s="7" t="str">
        <f t="shared" si="4"/>
        <v>South</v>
      </c>
      <c r="E425" s="8">
        <f t="shared" si="5"/>
        <v>863</v>
      </c>
      <c r="F425" s="8">
        <f t="shared" si="6"/>
        <v>241.64</v>
      </c>
      <c r="G425" s="9">
        <f t="shared" si="7"/>
        <v>7</v>
      </c>
      <c r="H425" s="7" t="str">
        <f t="shared" si="8"/>
        <v>May</v>
      </c>
      <c r="I425" s="7">
        <f t="shared" si="9"/>
        <v>5</v>
      </c>
    </row>
    <row r="426">
      <c r="A426" s="6">
        <f t="shared" si="1"/>
        <v>45953</v>
      </c>
      <c r="B426" s="7" t="str">
        <f t="shared" si="2"/>
        <v>Phone</v>
      </c>
      <c r="C426" s="7" t="str">
        <f t="shared" si="3"/>
        <v>Electronics</v>
      </c>
      <c r="D426" s="7" t="str">
        <f t="shared" si="4"/>
        <v>North</v>
      </c>
      <c r="E426" s="8">
        <f t="shared" si="5"/>
        <v>1951</v>
      </c>
      <c r="F426" s="8">
        <f t="shared" si="6"/>
        <v>390.2</v>
      </c>
      <c r="G426" s="9">
        <f t="shared" si="7"/>
        <v>6</v>
      </c>
      <c r="H426" s="7" t="str">
        <f t="shared" si="8"/>
        <v>Oct</v>
      </c>
      <c r="I426" s="7">
        <f t="shared" si="9"/>
        <v>10</v>
      </c>
    </row>
    <row r="427">
      <c r="A427" s="6">
        <f t="shared" si="1"/>
        <v>45798</v>
      </c>
      <c r="B427" s="7" t="str">
        <f t="shared" si="2"/>
        <v>Tablet</v>
      </c>
      <c r="C427" s="7" t="str">
        <f t="shared" si="3"/>
        <v>Electronics</v>
      </c>
      <c r="D427" s="7" t="str">
        <f t="shared" si="4"/>
        <v>North</v>
      </c>
      <c r="E427" s="8">
        <f t="shared" si="5"/>
        <v>418</v>
      </c>
      <c r="F427" s="8">
        <f t="shared" si="6"/>
        <v>91.96</v>
      </c>
      <c r="G427" s="9">
        <f t="shared" si="7"/>
        <v>3</v>
      </c>
      <c r="H427" s="7" t="str">
        <f t="shared" si="8"/>
        <v>May</v>
      </c>
      <c r="I427" s="7">
        <f t="shared" si="9"/>
        <v>5</v>
      </c>
    </row>
    <row r="428">
      <c r="A428" s="6">
        <f t="shared" si="1"/>
        <v>45770</v>
      </c>
      <c r="B428" s="7" t="str">
        <f t="shared" si="2"/>
        <v>Chair</v>
      </c>
      <c r="C428" s="7" t="str">
        <f t="shared" si="3"/>
        <v>Furniture</v>
      </c>
      <c r="D428" s="7" t="str">
        <f t="shared" si="4"/>
        <v>North</v>
      </c>
      <c r="E428" s="8">
        <f t="shared" si="5"/>
        <v>1038</v>
      </c>
      <c r="F428" s="8">
        <f t="shared" si="6"/>
        <v>207.6</v>
      </c>
      <c r="G428" s="9">
        <f t="shared" si="7"/>
        <v>3</v>
      </c>
      <c r="H428" s="7" t="str">
        <f t="shared" si="8"/>
        <v>Apr</v>
      </c>
      <c r="I428" s="7">
        <f t="shared" si="9"/>
        <v>4</v>
      </c>
    </row>
    <row r="429">
      <c r="A429" s="6">
        <f t="shared" si="1"/>
        <v>46000</v>
      </c>
      <c r="B429" s="7" t="str">
        <f t="shared" si="2"/>
        <v>Chair</v>
      </c>
      <c r="C429" s="7" t="str">
        <f t="shared" si="3"/>
        <v>Furniture</v>
      </c>
      <c r="D429" s="7" t="str">
        <f t="shared" si="4"/>
        <v>West</v>
      </c>
      <c r="E429" s="8">
        <f t="shared" si="5"/>
        <v>1848</v>
      </c>
      <c r="F429" s="8">
        <f t="shared" si="6"/>
        <v>498.96</v>
      </c>
      <c r="G429" s="9">
        <f t="shared" si="7"/>
        <v>7</v>
      </c>
      <c r="H429" s="7" t="str">
        <f t="shared" si="8"/>
        <v>Dec</v>
      </c>
      <c r="I429" s="7">
        <f t="shared" si="9"/>
        <v>12</v>
      </c>
    </row>
    <row r="430">
      <c r="A430" s="6">
        <f t="shared" si="1"/>
        <v>45738</v>
      </c>
      <c r="B430" s="7" t="str">
        <f t="shared" si="2"/>
        <v>Laptop</v>
      </c>
      <c r="C430" s="7" t="str">
        <f t="shared" si="3"/>
        <v>Electronics</v>
      </c>
      <c r="D430" s="7" t="str">
        <f t="shared" si="4"/>
        <v>East</v>
      </c>
      <c r="E430" s="8">
        <f t="shared" si="5"/>
        <v>1626</v>
      </c>
      <c r="F430" s="8">
        <f t="shared" si="6"/>
        <v>260.16</v>
      </c>
      <c r="G430" s="9">
        <f t="shared" si="7"/>
        <v>1</v>
      </c>
      <c r="H430" s="7" t="str">
        <f t="shared" si="8"/>
        <v>Mar</v>
      </c>
      <c r="I430" s="7">
        <f t="shared" si="9"/>
        <v>3</v>
      </c>
    </row>
    <row r="431">
      <c r="A431" s="6">
        <f t="shared" si="1"/>
        <v>45941</v>
      </c>
      <c r="B431" s="7" t="str">
        <f t="shared" si="2"/>
        <v>Phone</v>
      </c>
      <c r="C431" s="7" t="str">
        <f t="shared" si="3"/>
        <v>Electronics</v>
      </c>
      <c r="D431" s="7" t="str">
        <f t="shared" si="4"/>
        <v>North</v>
      </c>
      <c r="E431" s="8">
        <f t="shared" si="5"/>
        <v>1582</v>
      </c>
      <c r="F431" s="8">
        <f t="shared" si="6"/>
        <v>348.04</v>
      </c>
      <c r="G431" s="9">
        <f t="shared" si="7"/>
        <v>4</v>
      </c>
      <c r="H431" s="7" t="str">
        <f t="shared" si="8"/>
        <v>Oct</v>
      </c>
      <c r="I431" s="7">
        <f t="shared" si="9"/>
        <v>10</v>
      </c>
    </row>
    <row r="432">
      <c r="A432" s="6">
        <f t="shared" si="1"/>
        <v>45688</v>
      </c>
      <c r="B432" s="7" t="str">
        <f t="shared" si="2"/>
        <v>Tablet</v>
      </c>
      <c r="C432" s="7" t="str">
        <f t="shared" si="3"/>
        <v>Electronics</v>
      </c>
      <c r="D432" s="7" t="str">
        <f t="shared" si="4"/>
        <v>North</v>
      </c>
      <c r="E432" s="8">
        <f t="shared" si="5"/>
        <v>620</v>
      </c>
      <c r="F432" s="8">
        <f t="shared" si="6"/>
        <v>62</v>
      </c>
      <c r="G432" s="9">
        <f t="shared" si="7"/>
        <v>3</v>
      </c>
      <c r="H432" s="7" t="str">
        <f t="shared" si="8"/>
        <v>Jan</v>
      </c>
      <c r="I432" s="7">
        <f t="shared" si="9"/>
        <v>1</v>
      </c>
    </row>
    <row r="433">
      <c r="A433" s="6">
        <f t="shared" si="1"/>
        <v>45789</v>
      </c>
      <c r="B433" s="7" t="str">
        <f t="shared" si="2"/>
        <v>Table</v>
      </c>
      <c r="C433" s="7" t="str">
        <f t="shared" si="3"/>
        <v>Furniture</v>
      </c>
      <c r="D433" s="7" t="str">
        <f t="shared" si="4"/>
        <v>North</v>
      </c>
      <c r="E433" s="8">
        <f t="shared" si="5"/>
        <v>458</v>
      </c>
      <c r="F433" s="8">
        <f t="shared" si="6"/>
        <v>73.28</v>
      </c>
      <c r="G433" s="9">
        <f t="shared" si="7"/>
        <v>7</v>
      </c>
      <c r="H433" s="7" t="str">
        <f t="shared" si="8"/>
        <v>May</v>
      </c>
      <c r="I433" s="7">
        <f t="shared" si="9"/>
        <v>5</v>
      </c>
    </row>
    <row r="434">
      <c r="A434" s="6">
        <f t="shared" si="1"/>
        <v>45718</v>
      </c>
      <c r="B434" s="7" t="str">
        <f t="shared" si="2"/>
        <v>Phone</v>
      </c>
      <c r="C434" s="7" t="str">
        <f t="shared" si="3"/>
        <v>Electronics</v>
      </c>
      <c r="D434" s="7" t="str">
        <f t="shared" si="4"/>
        <v>North</v>
      </c>
      <c r="E434" s="8">
        <f t="shared" si="5"/>
        <v>1879</v>
      </c>
      <c r="F434" s="8">
        <f t="shared" si="6"/>
        <v>225.48</v>
      </c>
      <c r="G434" s="9">
        <f t="shared" si="7"/>
        <v>1</v>
      </c>
      <c r="H434" s="7" t="str">
        <f t="shared" si="8"/>
        <v>Mar</v>
      </c>
      <c r="I434" s="7">
        <f t="shared" si="9"/>
        <v>3</v>
      </c>
    </row>
    <row r="435">
      <c r="A435" s="6">
        <f t="shared" si="1"/>
        <v>45750</v>
      </c>
      <c r="B435" s="7" t="str">
        <f t="shared" si="2"/>
        <v>Laptop</v>
      </c>
      <c r="C435" s="7" t="str">
        <f t="shared" si="3"/>
        <v>Electronics</v>
      </c>
      <c r="D435" s="7" t="str">
        <f t="shared" si="4"/>
        <v>West</v>
      </c>
      <c r="E435" s="8">
        <f t="shared" si="5"/>
        <v>1312</v>
      </c>
      <c r="F435" s="8">
        <f t="shared" si="6"/>
        <v>393.6</v>
      </c>
      <c r="G435" s="9">
        <f t="shared" si="7"/>
        <v>9</v>
      </c>
      <c r="H435" s="7" t="str">
        <f t="shared" si="8"/>
        <v>Apr</v>
      </c>
      <c r="I435" s="7">
        <f t="shared" si="9"/>
        <v>4</v>
      </c>
    </row>
    <row r="436">
      <c r="A436" s="6">
        <f t="shared" si="1"/>
        <v>45899</v>
      </c>
      <c r="B436" s="7" t="str">
        <f t="shared" si="2"/>
        <v>Laptop</v>
      </c>
      <c r="C436" s="7" t="str">
        <f t="shared" si="3"/>
        <v>Electronics</v>
      </c>
      <c r="D436" s="7" t="str">
        <f t="shared" si="4"/>
        <v>West</v>
      </c>
      <c r="E436" s="8">
        <f t="shared" si="5"/>
        <v>1099</v>
      </c>
      <c r="F436" s="8">
        <f t="shared" si="6"/>
        <v>241.78</v>
      </c>
      <c r="G436" s="9">
        <f t="shared" si="7"/>
        <v>9</v>
      </c>
      <c r="H436" s="7" t="str">
        <f t="shared" si="8"/>
        <v>Aug</v>
      </c>
      <c r="I436" s="7">
        <f t="shared" si="9"/>
        <v>8</v>
      </c>
    </row>
    <row r="437">
      <c r="A437" s="6">
        <f t="shared" si="1"/>
        <v>45886</v>
      </c>
      <c r="B437" s="7" t="str">
        <f t="shared" si="2"/>
        <v>Table</v>
      </c>
      <c r="C437" s="7" t="str">
        <f t="shared" si="3"/>
        <v>Furniture</v>
      </c>
      <c r="D437" s="7" t="str">
        <f t="shared" si="4"/>
        <v>North</v>
      </c>
      <c r="E437" s="8">
        <f t="shared" si="5"/>
        <v>636</v>
      </c>
      <c r="F437" s="8">
        <f t="shared" si="6"/>
        <v>152.64</v>
      </c>
      <c r="G437" s="9">
        <f t="shared" si="7"/>
        <v>8</v>
      </c>
      <c r="H437" s="7" t="str">
        <f t="shared" si="8"/>
        <v>Aug</v>
      </c>
      <c r="I437" s="7">
        <f t="shared" si="9"/>
        <v>8</v>
      </c>
    </row>
    <row r="438">
      <c r="A438" s="6">
        <f t="shared" si="1"/>
        <v>45828</v>
      </c>
      <c r="B438" s="7" t="str">
        <f t="shared" si="2"/>
        <v>Monitor</v>
      </c>
      <c r="C438" s="7" t="str">
        <f t="shared" si="3"/>
        <v>Electronics</v>
      </c>
      <c r="D438" s="7" t="str">
        <f t="shared" si="4"/>
        <v>West</v>
      </c>
      <c r="E438" s="8">
        <f t="shared" si="5"/>
        <v>1188</v>
      </c>
      <c r="F438" s="8">
        <f t="shared" si="6"/>
        <v>213.84</v>
      </c>
      <c r="G438" s="9">
        <f t="shared" si="7"/>
        <v>10</v>
      </c>
      <c r="H438" s="7" t="str">
        <f t="shared" si="8"/>
        <v>Jun</v>
      </c>
      <c r="I438" s="7">
        <f t="shared" si="9"/>
        <v>6</v>
      </c>
    </row>
    <row r="439">
      <c r="A439" s="6">
        <f t="shared" si="1"/>
        <v>46006</v>
      </c>
      <c r="B439" s="7" t="str">
        <f t="shared" si="2"/>
        <v>Laptop</v>
      </c>
      <c r="C439" s="7" t="str">
        <f t="shared" si="3"/>
        <v>Electronics</v>
      </c>
      <c r="D439" s="7" t="str">
        <f t="shared" si="4"/>
        <v>West</v>
      </c>
      <c r="E439" s="8">
        <f t="shared" si="5"/>
        <v>472</v>
      </c>
      <c r="F439" s="8">
        <f t="shared" si="6"/>
        <v>132.16</v>
      </c>
      <c r="G439" s="9">
        <f t="shared" si="7"/>
        <v>6</v>
      </c>
      <c r="H439" s="7" t="str">
        <f t="shared" si="8"/>
        <v>Dec</v>
      </c>
      <c r="I439" s="7">
        <f t="shared" si="9"/>
        <v>12</v>
      </c>
    </row>
    <row r="440">
      <c r="A440" s="6">
        <f t="shared" si="1"/>
        <v>45983</v>
      </c>
      <c r="B440" s="7" t="str">
        <f t="shared" si="2"/>
        <v>Chair</v>
      </c>
      <c r="C440" s="7" t="str">
        <f t="shared" si="3"/>
        <v>Furniture</v>
      </c>
      <c r="D440" s="7" t="str">
        <f t="shared" si="4"/>
        <v>South</v>
      </c>
      <c r="E440" s="8">
        <f t="shared" si="5"/>
        <v>812</v>
      </c>
      <c r="F440" s="8">
        <f t="shared" si="6"/>
        <v>113.68</v>
      </c>
      <c r="G440" s="9">
        <f t="shared" si="7"/>
        <v>3</v>
      </c>
      <c r="H440" s="7" t="str">
        <f t="shared" si="8"/>
        <v>Nov</v>
      </c>
      <c r="I440" s="7">
        <f t="shared" si="9"/>
        <v>11</v>
      </c>
    </row>
    <row r="441">
      <c r="A441" s="6">
        <f t="shared" si="1"/>
        <v>46012</v>
      </c>
      <c r="B441" s="7" t="str">
        <f t="shared" si="2"/>
        <v>Monitor</v>
      </c>
      <c r="C441" s="7" t="str">
        <f t="shared" si="3"/>
        <v>Electronics</v>
      </c>
      <c r="D441" s="7" t="str">
        <f t="shared" si="4"/>
        <v>East</v>
      </c>
      <c r="E441" s="8">
        <f t="shared" si="5"/>
        <v>844</v>
      </c>
      <c r="F441" s="8">
        <f t="shared" si="6"/>
        <v>253.2</v>
      </c>
      <c r="G441" s="9">
        <f t="shared" si="7"/>
        <v>7</v>
      </c>
      <c r="H441" s="7" t="str">
        <f t="shared" si="8"/>
        <v>Dec</v>
      </c>
      <c r="I441" s="7">
        <f t="shared" si="9"/>
        <v>12</v>
      </c>
    </row>
    <row r="442">
      <c r="A442" s="6">
        <f t="shared" si="1"/>
        <v>45714</v>
      </c>
      <c r="B442" s="7" t="str">
        <f t="shared" si="2"/>
        <v>Chair</v>
      </c>
      <c r="C442" s="7" t="str">
        <f t="shared" si="3"/>
        <v>Furniture</v>
      </c>
      <c r="D442" s="7" t="str">
        <f t="shared" si="4"/>
        <v>North</v>
      </c>
      <c r="E442" s="8">
        <f t="shared" si="5"/>
        <v>1089</v>
      </c>
      <c r="F442" s="8">
        <f t="shared" si="6"/>
        <v>152.46</v>
      </c>
      <c r="G442" s="9">
        <f t="shared" si="7"/>
        <v>6</v>
      </c>
      <c r="H442" s="7" t="str">
        <f t="shared" si="8"/>
        <v>Feb</v>
      </c>
      <c r="I442" s="7">
        <f t="shared" si="9"/>
        <v>2</v>
      </c>
    </row>
    <row r="443">
      <c r="A443" s="6">
        <f t="shared" si="1"/>
        <v>45776</v>
      </c>
      <c r="B443" s="7" t="str">
        <f t="shared" si="2"/>
        <v>Monitor</v>
      </c>
      <c r="C443" s="7" t="str">
        <f t="shared" si="3"/>
        <v>Electronics</v>
      </c>
      <c r="D443" s="7" t="str">
        <f t="shared" si="4"/>
        <v>West</v>
      </c>
      <c r="E443" s="8">
        <f t="shared" si="5"/>
        <v>624</v>
      </c>
      <c r="F443" s="8">
        <f t="shared" si="6"/>
        <v>99.84</v>
      </c>
      <c r="G443" s="9">
        <f t="shared" si="7"/>
        <v>6</v>
      </c>
      <c r="H443" s="7" t="str">
        <f t="shared" si="8"/>
        <v>Apr</v>
      </c>
      <c r="I443" s="7">
        <f t="shared" si="9"/>
        <v>4</v>
      </c>
    </row>
    <row r="444">
      <c r="A444" s="6">
        <f t="shared" si="1"/>
        <v>45701</v>
      </c>
      <c r="B444" s="7" t="str">
        <f t="shared" si="2"/>
        <v>Phone</v>
      </c>
      <c r="C444" s="7" t="str">
        <f t="shared" si="3"/>
        <v>Electronics</v>
      </c>
      <c r="D444" s="7" t="str">
        <f t="shared" si="4"/>
        <v>West</v>
      </c>
      <c r="E444" s="8">
        <f t="shared" si="5"/>
        <v>267</v>
      </c>
      <c r="F444" s="8">
        <f t="shared" si="6"/>
        <v>34.71</v>
      </c>
      <c r="G444" s="9">
        <f t="shared" si="7"/>
        <v>4</v>
      </c>
      <c r="H444" s="7" t="str">
        <f t="shared" si="8"/>
        <v>Feb</v>
      </c>
      <c r="I444" s="7">
        <f t="shared" si="9"/>
        <v>2</v>
      </c>
    </row>
    <row r="445">
      <c r="A445" s="6">
        <f t="shared" si="1"/>
        <v>45919</v>
      </c>
      <c r="B445" s="7" t="str">
        <f t="shared" si="2"/>
        <v>Chair</v>
      </c>
      <c r="C445" s="7" t="str">
        <f t="shared" si="3"/>
        <v>Furniture</v>
      </c>
      <c r="D445" s="7" t="str">
        <f t="shared" si="4"/>
        <v>North</v>
      </c>
      <c r="E445" s="8">
        <f t="shared" si="5"/>
        <v>1128</v>
      </c>
      <c r="F445" s="8">
        <f t="shared" si="6"/>
        <v>191.76</v>
      </c>
      <c r="G445" s="9">
        <f t="shared" si="7"/>
        <v>8</v>
      </c>
      <c r="H445" s="7" t="str">
        <f t="shared" si="8"/>
        <v>Sep</v>
      </c>
      <c r="I445" s="7">
        <f t="shared" si="9"/>
        <v>9</v>
      </c>
    </row>
    <row r="446">
      <c r="A446" s="6">
        <f t="shared" si="1"/>
        <v>45902</v>
      </c>
      <c r="B446" s="7" t="str">
        <f t="shared" si="2"/>
        <v>Table</v>
      </c>
      <c r="C446" s="7" t="str">
        <f t="shared" si="3"/>
        <v>Furniture</v>
      </c>
      <c r="D446" s="7" t="str">
        <f t="shared" si="4"/>
        <v>South</v>
      </c>
      <c r="E446" s="8">
        <f t="shared" si="5"/>
        <v>799</v>
      </c>
      <c r="F446" s="8">
        <f t="shared" si="6"/>
        <v>191.76</v>
      </c>
      <c r="G446" s="9">
        <f t="shared" si="7"/>
        <v>4</v>
      </c>
      <c r="H446" s="7" t="str">
        <f t="shared" si="8"/>
        <v>Sep</v>
      </c>
      <c r="I446" s="7">
        <f t="shared" si="9"/>
        <v>9</v>
      </c>
    </row>
    <row r="447">
      <c r="A447" s="6">
        <f t="shared" si="1"/>
        <v>45824</v>
      </c>
      <c r="B447" s="7" t="str">
        <f t="shared" si="2"/>
        <v>Phone</v>
      </c>
      <c r="C447" s="7" t="str">
        <f t="shared" si="3"/>
        <v>Electronics</v>
      </c>
      <c r="D447" s="7" t="str">
        <f t="shared" si="4"/>
        <v>West</v>
      </c>
      <c r="E447" s="8">
        <f t="shared" si="5"/>
        <v>584</v>
      </c>
      <c r="F447" s="8">
        <f t="shared" si="6"/>
        <v>163.52</v>
      </c>
      <c r="G447" s="9">
        <f t="shared" si="7"/>
        <v>1</v>
      </c>
      <c r="H447" s="7" t="str">
        <f t="shared" si="8"/>
        <v>Jun</v>
      </c>
      <c r="I447" s="7">
        <f t="shared" si="9"/>
        <v>6</v>
      </c>
    </row>
    <row r="448">
      <c r="A448" s="6">
        <f t="shared" si="1"/>
        <v>45712</v>
      </c>
      <c r="B448" s="7" t="str">
        <f t="shared" si="2"/>
        <v>Tablet</v>
      </c>
      <c r="C448" s="7" t="str">
        <f t="shared" si="3"/>
        <v>Electronics</v>
      </c>
      <c r="D448" s="7" t="str">
        <f t="shared" si="4"/>
        <v>East</v>
      </c>
      <c r="E448" s="8">
        <f t="shared" si="5"/>
        <v>1202</v>
      </c>
      <c r="F448" s="8">
        <f t="shared" si="6"/>
        <v>204.34</v>
      </c>
      <c r="G448" s="9">
        <f t="shared" si="7"/>
        <v>4</v>
      </c>
      <c r="H448" s="7" t="str">
        <f t="shared" si="8"/>
        <v>Feb</v>
      </c>
      <c r="I448" s="7">
        <f t="shared" si="9"/>
        <v>2</v>
      </c>
    </row>
    <row r="449">
      <c r="A449" s="6">
        <f t="shared" si="1"/>
        <v>45961</v>
      </c>
      <c r="B449" s="7" t="str">
        <f t="shared" si="2"/>
        <v>Laptop</v>
      </c>
      <c r="C449" s="7" t="str">
        <f t="shared" si="3"/>
        <v>Electronics</v>
      </c>
      <c r="D449" s="7" t="str">
        <f t="shared" si="4"/>
        <v>North</v>
      </c>
      <c r="E449" s="8">
        <f t="shared" si="5"/>
        <v>1913</v>
      </c>
      <c r="F449" s="8">
        <f t="shared" si="6"/>
        <v>325.21</v>
      </c>
      <c r="G449" s="9">
        <f t="shared" si="7"/>
        <v>6</v>
      </c>
      <c r="H449" s="7" t="str">
        <f t="shared" si="8"/>
        <v>Oct</v>
      </c>
      <c r="I449" s="7">
        <f t="shared" si="9"/>
        <v>10</v>
      </c>
    </row>
    <row r="450">
      <c r="A450" s="6">
        <f t="shared" si="1"/>
        <v>45814</v>
      </c>
      <c r="B450" s="7" t="str">
        <f t="shared" si="2"/>
        <v>Phone</v>
      </c>
      <c r="C450" s="7" t="str">
        <f t="shared" si="3"/>
        <v>Electronics</v>
      </c>
      <c r="D450" s="7" t="str">
        <f t="shared" si="4"/>
        <v>East</v>
      </c>
      <c r="E450" s="8">
        <f t="shared" si="5"/>
        <v>1379</v>
      </c>
      <c r="F450" s="8">
        <f t="shared" si="6"/>
        <v>317.17</v>
      </c>
      <c r="G450" s="9">
        <f t="shared" si="7"/>
        <v>1</v>
      </c>
      <c r="H450" s="7" t="str">
        <f t="shared" si="8"/>
        <v>Jun</v>
      </c>
      <c r="I450" s="7">
        <f t="shared" si="9"/>
        <v>6</v>
      </c>
    </row>
    <row r="451">
      <c r="A451" s="6">
        <f t="shared" si="1"/>
        <v>45672</v>
      </c>
      <c r="B451" s="7" t="str">
        <f t="shared" si="2"/>
        <v>Laptop</v>
      </c>
      <c r="C451" s="7" t="str">
        <f t="shared" si="3"/>
        <v>Electronics</v>
      </c>
      <c r="D451" s="7" t="str">
        <f t="shared" si="4"/>
        <v>West</v>
      </c>
      <c r="E451" s="8">
        <f t="shared" si="5"/>
        <v>369</v>
      </c>
      <c r="F451" s="8">
        <f t="shared" si="6"/>
        <v>84.87</v>
      </c>
      <c r="G451" s="9">
        <f t="shared" si="7"/>
        <v>9</v>
      </c>
      <c r="H451" s="7" t="str">
        <f t="shared" si="8"/>
        <v>Jan</v>
      </c>
      <c r="I451" s="7">
        <f t="shared" si="9"/>
        <v>1</v>
      </c>
    </row>
    <row r="452">
      <c r="A452" s="6">
        <f t="shared" si="1"/>
        <v>45989</v>
      </c>
      <c r="B452" s="7" t="str">
        <f t="shared" si="2"/>
        <v>Monitor</v>
      </c>
      <c r="C452" s="7" t="str">
        <f t="shared" si="3"/>
        <v>Electronics</v>
      </c>
      <c r="D452" s="7" t="str">
        <f t="shared" si="4"/>
        <v>South</v>
      </c>
      <c r="E452" s="8">
        <f t="shared" si="5"/>
        <v>485</v>
      </c>
      <c r="F452" s="8">
        <f t="shared" si="6"/>
        <v>82.45</v>
      </c>
      <c r="G452" s="9">
        <f t="shared" si="7"/>
        <v>8</v>
      </c>
      <c r="H452" s="7" t="str">
        <f t="shared" si="8"/>
        <v>Nov</v>
      </c>
      <c r="I452" s="7">
        <f t="shared" si="9"/>
        <v>11</v>
      </c>
    </row>
    <row r="453">
      <c r="A453" s="6">
        <f t="shared" si="1"/>
        <v>45957</v>
      </c>
      <c r="B453" s="7" t="str">
        <f t="shared" si="2"/>
        <v>Tablet</v>
      </c>
      <c r="C453" s="7" t="str">
        <f t="shared" si="3"/>
        <v>Electronics</v>
      </c>
      <c r="D453" s="7" t="str">
        <f t="shared" si="4"/>
        <v>South</v>
      </c>
      <c r="E453" s="8">
        <f t="shared" si="5"/>
        <v>1626</v>
      </c>
      <c r="F453" s="8">
        <f t="shared" si="6"/>
        <v>243.9</v>
      </c>
      <c r="G453" s="9">
        <f t="shared" si="7"/>
        <v>6</v>
      </c>
      <c r="H453" s="7" t="str">
        <f t="shared" si="8"/>
        <v>Oct</v>
      </c>
      <c r="I453" s="7">
        <f t="shared" si="9"/>
        <v>10</v>
      </c>
    </row>
    <row r="454">
      <c r="A454" s="6">
        <f t="shared" si="1"/>
        <v>45920</v>
      </c>
      <c r="B454" s="7" t="str">
        <f t="shared" si="2"/>
        <v>Laptop</v>
      </c>
      <c r="C454" s="7" t="str">
        <f t="shared" si="3"/>
        <v>Electronics</v>
      </c>
      <c r="D454" s="7" t="str">
        <f t="shared" si="4"/>
        <v>North</v>
      </c>
      <c r="E454" s="8">
        <f t="shared" si="5"/>
        <v>1993</v>
      </c>
      <c r="F454" s="8">
        <f t="shared" si="6"/>
        <v>498.25</v>
      </c>
      <c r="G454" s="9">
        <f t="shared" si="7"/>
        <v>1</v>
      </c>
      <c r="H454" s="7" t="str">
        <f t="shared" si="8"/>
        <v>Sep</v>
      </c>
      <c r="I454" s="7">
        <f t="shared" si="9"/>
        <v>9</v>
      </c>
    </row>
    <row r="455">
      <c r="A455" s="6">
        <f t="shared" si="1"/>
        <v>45677</v>
      </c>
      <c r="B455" s="7" t="str">
        <f t="shared" si="2"/>
        <v>Phone</v>
      </c>
      <c r="C455" s="7" t="str">
        <f t="shared" si="3"/>
        <v>Electronics</v>
      </c>
      <c r="D455" s="7" t="str">
        <f t="shared" si="4"/>
        <v>North</v>
      </c>
      <c r="E455" s="8">
        <f t="shared" si="5"/>
        <v>1721</v>
      </c>
      <c r="F455" s="8">
        <f t="shared" si="6"/>
        <v>395.83</v>
      </c>
      <c r="G455" s="9">
        <f t="shared" si="7"/>
        <v>9</v>
      </c>
      <c r="H455" s="7" t="str">
        <f t="shared" si="8"/>
        <v>Jan</v>
      </c>
      <c r="I455" s="7">
        <f t="shared" si="9"/>
        <v>1</v>
      </c>
    </row>
    <row r="456">
      <c r="A456" s="6">
        <f t="shared" si="1"/>
        <v>45855</v>
      </c>
      <c r="B456" s="7" t="str">
        <f t="shared" si="2"/>
        <v>Tablet</v>
      </c>
      <c r="C456" s="7" t="str">
        <f t="shared" si="3"/>
        <v>Electronics</v>
      </c>
      <c r="D456" s="7" t="str">
        <f t="shared" si="4"/>
        <v>West</v>
      </c>
      <c r="E456" s="8">
        <f t="shared" si="5"/>
        <v>1789</v>
      </c>
      <c r="F456" s="8">
        <f t="shared" si="6"/>
        <v>268.35</v>
      </c>
      <c r="G456" s="9">
        <f t="shared" si="7"/>
        <v>4</v>
      </c>
      <c r="H456" s="7" t="str">
        <f t="shared" si="8"/>
        <v>Jul</v>
      </c>
      <c r="I456" s="7">
        <f t="shared" si="9"/>
        <v>7</v>
      </c>
    </row>
    <row r="457">
      <c r="A457" s="6">
        <f t="shared" si="1"/>
        <v>45998</v>
      </c>
      <c r="B457" s="7" t="str">
        <f t="shared" si="2"/>
        <v>Chair</v>
      </c>
      <c r="C457" s="7" t="str">
        <f t="shared" si="3"/>
        <v>Furniture</v>
      </c>
      <c r="D457" s="7" t="str">
        <f t="shared" si="4"/>
        <v>South</v>
      </c>
      <c r="E457" s="8">
        <f t="shared" si="5"/>
        <v>1301</v>
      </c>
      <c r="F457" s="8">
        <f t="shared" si="6"/>
        <v>143.11</v>
      </c>
      <c r="G457" s="9">
        <f t="shared" si="7"/>
        <v>4</v>
      </c>
      <c r="H457" s="7" t="str">
        <f t="shared" si="8"/>
        <v>Dec</v>
      </c>
      <c r="I457" s="7">
        <f t="shared" si="9"/>
        <v>12</v>
      </c>
    </row>
    <row r="458">
      <c r="A458" s="6">
        <f t="shared" si="1"/>
        <v>45945</v>
      </c>
      <c r="B458" s="7" t="str">
        <f t="shared" si="2"/>
        <v>Table</v>
      </c>
      <c r="C458" s="7" t="str">
        <f t="shared" si="3"/>
        <v>Furniture</v>
      </c>
      <c r="D458" s="7" t="str">
        <f t="shared" si="4"/>
        <v>North</v>
      </c>
      <c r="E458" s="8">
        <f t="shared" si="5"/>
        <v>1706</v>
      </c>
      <c r="F458" s="8">
        <f t="shared" si="6"/>
        <v>392.38</v>
      </c>
      <c r="G458" s="9">
        <f t="shared" si="7"/>
        <v>9</v>
      </c>
      <c r="H458" s="7" t="str">
        <f t="shared" si="8"/>
        <v>Oct</v>
      </c>
      <c r="I458" s="7">
        <f t="shared" si="9"/>
        <v>10</v>
      </c>
    </row>
    <row r="459">
      <c r="A459" s="6">
        <f t="shared" si="1"/>
        <v>45915</v>
      </c>
      <c r="B459" s="7" t="str">
        <f t="shared" si="2"/>
        <v>Monitor</v>
      </c>
      <c r="C459" s="7" t="str">
        <f t="shared" si="3"/>
        <v>Electronics</v>
      </c>
      <c r="D459" s="7" t="str">
        <f t="shared" si="4"/>
        <v>North</v>
      </c>
      <c r="E459" s="8">
        <f t="shared" si="5"/>
        <v>1059</v>
      </c>
      <c r="F459" s="8">
        <f t="shared" si="6"/>
        <v>232.98</v>
      </c>
      <c r="G459" s="9">
        <f t="shared" si="7"/>
        <v>3</v>
      </c>
      <c r="H459" s="7" t="str">
        <f t="shared" si="8"/>
        <v>Sep</v>
      </c>
      <c r="I459" s="7">
        <f t="shared" si="9"/>
        <v>9</v>
      </c>
    </row>
    <row r="460">
      <c r="A460" s="6">
        <f t="shared" si="1"/>
        <v>45791</v>
      </c>
      <c r="B460" s="7" t="str">
        <f t="shared" si="2"/>
        <v>Tablet</v>
      </c>
      <c r="C460" s="7" t="str">
        <f t="shared" si="3"/>
        <v>Electronics</v>
      </c>
      <c r="D460" s="7" t="str">
        <f t="shared" si="4"/>
        <v>West</v>
      </c>
      <c r="E460" s="8">
        <f t="shared" si="5"/>
        <v>1115</v>
      </c>
      <c r="F460" s="8">
        <f t="shared" si="6"/>
        <v>133.8</v>
      </c>
      <c r="G460" s="9">
        <f t="shared" si="7"/>
        <v>7</v>
      </c>
      <c r="H460" s="7" t="str">
        <f t="shared" si="8"/>
        <v>May</v>
      </c>
      <c r="I460" s="7">
        <f t="shared" si="9"/>
        <v>5</v>
      </c>
    </row>
    <row r="461">
      <c r="A461" s="6">
        <f t="shared" si="1"/>
        <v>45867</v>
      </c>
      <c r="B461" s="7" t="str">
        <f t="shared" si="2"/>
        <v>Tablet</v>
      </c>
      <c r="C461" s="7" t="str">
        <f t="shared" si="3"/>
        <v>Electronics</v>
      </c>
      <c r="D461" s="7" t="str">
        <f t="shared" si="4"/>
        <v>East</v>
      </c>
      <c r="E461" s="8">
        <f t="shared" si="5"/>
        <v>1117</v>
      </c>
      <c r="F461" s="8">
        <f t="shared" si="6"/>
        <v>122.87</v>
      </c>
      <c r="G461" s="9">
        <f t="shared" si="7"/>
        <v>5</v>
      </c>
      <c r="H461" s="7" t="str">
        <f t="shared" si="8"/>
        <v>Jul</v>
      </c>
      <c r="I461" s="7">
        <f t="shared" si="9"/>
        <v>7</v>
      </c>
    </row>
    <row r="462">
      <c r="A462" s="6">
        <f t="shared" si="1"/>
        <v>45892</v>
      </c>
      <c r="B462" s="7" t="str">
        <f t="shared" si="2"/>
        <v>Table</v>
      </c>
      <c r="C462" s="7" t="str">
        <f t="shared" si="3"/>
        <v>Furniture</v>
      </c>
      <c r="D462" s="7" t="str">
        <f t="shared" si="4"/>
        <v>North</v>
      </c>
      <c r="E462" s="8">
        <f t="shared" si="5"/>
        <v>248</v>
      </c>
      <c r="F462" s="8">
        <f t="shared" si="6"/>
        <v>27.28</v>
      </c>
      <c r="G462" s="9">
        <f t="shared" si="7"/>
        <v>3</v>
      </c>
      <c r="H462" s="7" t="str">
        <f t="shared" si="8"/>
        <v>Aug</v>
      </c>
      <c r="I462" s="7">
        <f t="shared" si="9"/>
        <v>8</v>
      </c>
    </row>
    <row r="463">
      <c r="A463" s="6">
        <f t="shared" si="1"/>
        <v>45909</v>
      </c>
      <c r="B463" s="7" t="str">
        <f t="shared" si="2"/>
        <v>Phone</v>
      </c>
      <c r="C463" s="7" t="str">
        <f t="shared" si="3"/>
        <v>Electronics</v>
      </c>
      <c r="D463" s="7" t="str">
        <f t="shared" si="4"/>
        <v>South</v>
      </c>
      <c r="E463" s="8">
        <f t="shared" si="5"/>
        <v>920</v>
      </c>
      <c r="F463" s="8">
        <f t="shared" si="6"/>
        <v>184</v>
      </c>
      <c r="G463" s="9">
        <f t="shared" si="7"/>
        <v>10</v>
      </c>
      <c r="H463" s="7" t="str">
        <f t="shared" si="8"/>
        <v>Sep</v>
      </c>
      <c r="I463" s="7">
        <f t="shared" si="9"/>
        <v>9</v>
      </c>
    </row>
    <row r="464">
      <c r="A464" s="6">
        <f t="shared" si="1"/>
        <v>46008</v>
      </c>
      <c r="B464" s="7" t="str">
        <f t="shared" si="2"/>
        <v>Chair</v>
      </c>
      <c r="C464" s="7" t="str">
        <f t="shared" si="3"/>
        <v>Furniture</v>
      </c>
      <c r="D464" s="7" t="str">
        <f t="shared" si="4"/>
        <v>South</v>
      </c>
      <c r="E464" s="8">
        <f t="shared" si="5"/>
        <v>1643</v>
      </c>
      <c r="F464" s="8">
        <f t="shared" si="6"/>
        <v>180.73</v>
      </c>
      <c r="G464" s="9">
        <f t="shared" si="7"/>
        <v>9</v>
      </c>
      <c r="H464" s="7" t="str">
        <f t="shared" si="8"/>
        <v>Dec</v>
      </c>
      <c r="I464" s="7">
        <f t="shared" si="9"/>
        <v>12</v>
      </c>
    </row>
    <row r="465">
      <c r="A465" s="6">
        <f t="shared" si="1"/>
        <v>45712</v>
      </c>
      <c r="B465" s="7" t="str">
        <f t="shared" si="2"/>
        <v>Monitor</v>
      </c>
      <c r="C465" s="7" t="str">
        <f t="shared" si="3"/>
        <v>Electronics</v>
      </c>
      <c r="D465" s="7" t="str">
        <f t="shared" si="4"/>
        <v>West</v>
      </c>
      <c r="E465" s="8">
        <f t="shared" si="5"/>
        <v>210</v>
      </c>
      <c r="F465" s="8">
        <f t="shared" si="6"/>
        <v>63</v>
      </c>
      <c r="G465" s="9">
        <f t="shared" si="7"/>
        <v>1</v>
      </c>
      <c r="H465" s="7" t="str">
        <f t="shared" si="8"/>
        <v>Feb</v>
      </c>
      <c r="I465" s="7">
        <f t="shared" si="9"/>
        <v>2</v>
      </c>
    </row>
    <row r="466">
      <c r="A466" s="6">
        <f t="shared" si="1"/>
        <v>45826</v>
      </c>
      <c r="B466" s="7" t="str">
        <f t="shared" si="2"/>
        <v>Chair</v>
      </c>
      <c r="C466" s="7" t="str">
        <f t="shared" si="3"/>
        <v>Furniture</v>
      </c>
      <c r="D466" s="7" t="str">
        <f t="shared" si="4"/>
        <v>West</v>
      </c>
      <c r="E466" s="8">
        <f t="shared" si="5"/>
        <v>1439</v>
      </c>
      <c r="F466" s="8">
        <f t="shared" si="6"/>
        <v>374.14</v>
      </c>
      <c r="G466" s="9">
        <f t="shared" si="7"/>
        <v>7</v>
      </c>
      <c r="H466" s="7" t="str">
        <f t="shared" si="8"/>
        <v>Jun</v>
      </c>
      <c r="I466" s="7">
        <f t="shared" si="9"/>
        <v>6</v>
      </c>
    </row>
    <row r="467">
      <c r="A467" s="6">
        <f t="shared" si="1"/>
        <v>45783</v>
      </c>
      <c r="B467" s="7" t="str">
        <f t="shared" si="2"/>
        <v>Phone</v>
      </c>
      <c r="C467" s="7" t="str">
        <f t="shared" si="3"/>
        <v>Electronics</v>
      </c>
      <c r="D467" s="7" t="str">
        <f t="shared" si="4"/>
        <v>West</v>
      </c>
      <c r="E467" s="8">
        <f t="shared" si="5"/>
        <v>730</v>
      </c>
      <c r="F467" s="8">
        <f t="shared" si="6"/>
        <v>73</v>
      </c>
      <c r="G467" s="9">
        <f t="shared" si="7"/>
        <v>7</v>
      </c>
      <c r="H467" s="7" t="str">
        <f t="shared" si="8"/>
        <v>May</v>
      </c>
      <c r="I467" s="7">
        <f t="shared" si="9"/>
        <v>5</v>
      </c>
    </row>
    <row r="468">
      <c r="A468" s="6">
        <f t="shared" si="1"/>
        <v>45996</v>
      </c>
      <c r="B468" s="7" t="str">
        <f t="shared" si="2"/>
        <v>Laptop</v>
      </c>
      <c r="C468" s="7" t="str">
        <f t="shared" si="3"/>
        <v>Electronics</v>
      </c>
      <c r="D468" s="7" t="str">
        <f t="shared" si="4"/>
        <v>North</v>
      </c>
      <c r="E468" s="8">
        <f t="shared" si="5"/>
        <v>712</v>
      </c>
      <c r="F468" s="8">
        <f t="shared" si="6"/>
        <v>128.16</v>
      </c>
      <c r="G468" s="9">
        <f t="shared" si="7"/>
        <v>9</v>
      </c>
      <c r="H468" s="7" t="str">
        <f t="shared" si="8"/>
        <v>Dec</v>
      </c>
      <c r="I468" s="7">
        <f t="shared" si="9"/>
        <v>12</v>
      </c>
    </row>
    <row r="469">
      <c r="A469" s="6">
        <f t="shared" si="1"/>
        <v>45846</v>
      </c>
      <c r="B469" s="7" t="str">
        <f t="shared" si="2"/>
        <v>Table</v>
      </c>
      <c r="C469" s="7" t="str">
        <f t="shared" si="3"/>
        <v>Furniture</v>
      </c>
      <c r="D469" s="7" t="str">
        <f t="shared" si="4"/>
        <v>West</v>
      </c>
      <c r="E469" s="8">
        <f t="shared" si="5"/>
        <v>608</v>
      </c>
      <c r="F469" s="8">
        <f t="shared" si="6"/>
        <v>121.6</v>
      </c>
      <c r="G469" s="9">
        <f t="shared" si="7"/>
        <v>6</v>
      </c>
      <c r="H469" s="7" t="str">
        <f t="shared" si="8"/>
        <v>Jul</v>
      </c>
      <c r="I469" s="7">
        <f t="shared" si="9"/>
        <v>7</v>
      </c>
    </row>
    <row r="470">
      <c r="A470" s="6">
        <f t="shared" si="1"/>
        <v>45971</v>
      </c>
      <c r="B470" s="7" t="str">
        <f t="shared" si="2"/>
        <v>Chair</v>
      </c>
      <c r="C470" s="7" t="str">
        <f t="shared" si="3"/>
        <v>Furniture</v>
      </c>
      <c r="D470" s="7" t="str">
        <f t="shared" si="4"/>
        <v>East</v>
      </c>
      <c r="E470" s="8">
        <f t="shared" si="5"/>
        <v>399</v>
      </c>
      <c r="F470" s="8">
        <f t="shared" si="6"/>
        <v>119.7</v>
      </c>
      <c r="G470" s="9">
        <f t="shared" si="7"/>
        <v>7</v>
      </c>
      <c r="H470" s="7" t="str">
        <f t="shared" si="8"/>
        <v>Nov</v>
      </c>
      <c r="I470" s="7">
        <f t="shared" si="9"/>
        <v>11</v>
      </c>
    </row>
    <row r="471">
      <c r="A471" s="6">
        <f t="shared" si="1"/>
        <v>45988</v>
      </c>
      <c r="B471" s="7" t="str">
        <f t="shared" si="2"/>
        <v>Phone</v>
      </c>
      <c r="C471" s="7" t="str">
        <f t="shared" si="3"/>
        <v>Electronics</v>
      </c>
      <c r="D471" s="7" t="str">
        <f t="shared" si="4"/>
        <v>West</v>
      </c>
      <c r="E471" s="8">
        <f t="shared" si="5"/>
        <v>1262</v>
      </c>
      <c r="F471" s="8">
        <f t="shared" si="6"/>
        <v>328.12</v>
      </c>
      <c r="G471" s="9">
        <f t="shared" si="7"/>
        <v>4</v>
      </c>
      <c r="H471" s="7" t="str">
        <f t="shared" si="8"/>
        <v>Nov</v>
      </c>
      <c r="I471" s="7">
        <f t="shared" si="9"/>
        <v>11</v>
      </c>
    </row>
    <row r="472">
      <c r="A472" s="6">
        <f t="shared" si="1"/>
        <v>45786</v>
      </c>
      <c r="B472" s="7" t="str">
        <f t="shared" si="2"/>
        <v>Monitor</v>
      </c>
      <c r="C472" s="7" t="str">
        <f t="shared" si="3"/>
        <v>Electronics</v>
      </c>
      <c r="D472" s="7" t="str">
        <f t="shared" si="4"/>
        <v>West</v>
      </c>
      <c r="E472" s="8">
        <f t="shared" si="5"/>
        <v>1138</v>
      </c>
      <c r="F472" s="8">
        <f t="shared" si="6"/>
        <v>204.84</v>
      </c>
      <c r="G472" s="9">
        <f t="shared" si="7"/>
        <v>8</v>
      </c>
      <c r="H472" s="7" t="str">
        <f t="shared" si="8"/>
        <v>May</v>
      </c>
      <c r="I472" s="7">
        <f t="shared" si="9"/>
        <v>5</v>
      </c>
    </row>
    <row r="473">
      <c r="A473" s="6">
        <f t="shared" si="1"/>
        <v>45922</v>
      </c>
      <c r="B473" s="7" t="str">
        <f t="shared" si="2"/>
        <v>Tablet</v>
      </c>
      <c r="C473" s="7" t="str">
        <f t="shared" si="3"/>
        <v>Electronics</v>
      </c>
      <c r="D473" s="7" t="str">
        <f t="shared" si="4"/>
        <v>North</v>
      </c>
      <c r="E473" s="8">
        <f t="shared" si="5"/>
        <v>1234</v>
      </c>
      <c r="F473" s="8">
        <f t="shared" si="6"/>
        <v>234.46</v>
      </c>
      <c r="G473" s="9">
        <f t="shared" si="7"/>
        <v>10</v>
      </c>
      <c r="H473" s="7" t="str">
        <f t="shared" si="8"/>
        <v>Sep</v>
      </c>
      <c r="I473" s="7">
        <f t="shared" si="9"/>
        <v>9</v>
      </c>
    </row>
    <row r="474">
      <c r="A474" s="6">
        <f t="shared" si="1"/>
        <v>45689</v>
      </c>
      <c r="B474" s="7" t="str">
        <f t="shared" si="2"/>
        <v>Monitor</v>
      </c>
      <c r="C474" s="7" t="str">
        <f t="shared" si="3"/>
        <v>Electronics</v>
      </c>
      <c r="D474" s="7" t="str">
        <f t="shared" si="4"/>
        <v>West</v>
      </c>
      <c r="E474" s="8">
        <f t="shared" si="5"/>
        <v>950</v>
      </c>
      <c r="F474" s="8">
        <f t="shared" si="6"/>
        <v>180.5</v>
      </c>
      <c r="G474" s="9">
        <f t="shared" si="7"/>
        <v>9</v>
      </c>
      <c r="H474" s="7" t="str">
        <f t="shared" si="8"/>
        <v>Feb</v>
      </c>
      <c r="I474" s="7">
        <f t="shared" si="9"/>
        <v>2</v>
      </c>
    </row>
    <row r="475">
      <c r="A475" s="6">
        <f t="shared" si="1"/>
        <v>45855</v>
      </c>
      <c r="B475" s="7" t="str">
        <f t="shared" si="2"/>
        <v>Monitor</v>
      </c>
      <c r="C475" s="7" t="str">
        <f t="shared" si="3"/>
        <v>Electronics</v>
      </c>
      <c r="D475" s="7" t="str">
        <f t="shared" si="4"/>
        <v>North</v>
      </c>
      <c r="E475" s="8">
        <f t="shared" si="5"/>
        <v>1043</v>
      </c>
      <c r="F475" s="8">
        <f t="shared" si="6"/>
        <v>312.9</v>
      </c>
      <c r="G475" s="9">
        <f t="shared" si="7"/>
        <v>8</v>
      </c>
      <c r="H475" s="7" t="str">
        <f t="shared" si="8"/>
        <v>Jul</v>
      </c>
      <c r="I475" s="7">
        <f t="shared" si="9"/>
        <v>7</v>
      </c>
    </row>
    <row r="476">
      <c r="A476" s="6">
        <f t="shared" si="1"/>
        <v>45914</v>
      </c>
      <c r="B476" s="7" t="str">
        <f t="shared" si="2"/>
        <v>Monitor</v>
      </c>
      <c r="C476" s="7" t="str">
        <f t="shared" si="3"/>
        <v>Electronics</v>
      </c>
      <c r="D476" s="7" t="str">
        <f t="shared" si="4"/>
        <v>North</v>
      </c>
      <c r="E476" s="8">
        <f t="shared" si="5"/>
        <v>1828</v>
      </c>
      <c r="F476" s="8">
        <f t="shared" si="6"/>
        <v>274.2</v>
      </c>
      <c r="G476" s="9">
        <f t="shared" si="7"/>
        <v>10</v>
      </c>
      <c r="H476" s="7" t="str">
        <f t="shared" si="8"/>
        <v>Sep</v>
      </c>
      <c r="I476" s="7">
        <f t="shared" si="9"/>
        <v>9</v>
      </c>
    </row>
    <row r="477">
      <c r="A477" s="6">
        <f t="shared" si="1"/>
        <v>45905</v>
      </c>
      <c r="B477" s="7" t="str">
        <f t="shared" si="2"/>
        <v>Chair</v>
      </c>
      <c r="C477" s="7" t="str">
        <f t="shared" si="3"/>
        <v>Furniture</v>
      </c>
      <c r="D477" s="7" t="str">
        <f t="shared" si="4"/>
        <v>South</v>
      </c>
      <c r="E477" s="8">
        <f t="shared" si="5"/>
        <v>743</v>
      </c>
      <c r="F477" s="8">
        <f t="shared" si="6"/>
        <v>163.46</v>
      </c>
      <c r="G477" s="9">
        <f t="shared" si="7"/>
        <v>10</v>
      </c>
      <c r="H477" s="7" t="str">
        <f t="shared" si="8"/>
        <v>Sep</v>
      </c>
      <c r="I477" s="7">
        <f t="shared" si="9"/>
        <v>9</v>
      </c>
    </row>
    <row r="478">
      <c r="A478" s="6">
        <f t="shared" si="1"/>
        <v>45731</v>
      </c>
      <c r="B478" s="7" t="str">
        <f t="shared" si="2"/>
        <v>Chair</v>
      </c>
      <c r="C478" s="7" t="str">
        <f t="shared" si="3"/>
        <v>Furniture</v>
      </c>
      <c r="D478" s="7" t="str">
        <f t="shared" si="4"/>
        <v>East</v>
      </c>
      <c r="E478" s="8">
        <f t="shared" si="5"/>
        <v>1618</v>
      </c>
      <c r="F478" s="8">
        <f t="shared" si="6"/>
        <v>210.34</v>
      </c>
      <c r="G478" s="9">
        <f t="shared" si="7"/>
        <v>5</v>
      </c>
      <c r="H478" s="7" t="str">
        <f t="shared" si="8"/>
        <v>Mar</v>
      </c>
      <c r="I478" s="7">
        <f t="shared" si="9"/>
        <v>3</v>
      </c>
    </row>
    <row r="479">
      <c r="A479" s="6">
        <f t="shared" si="1"/>
        <v>45908</v>
      </c>
      <c r="B479" s="7" t="str">
        <f t="shared" si="2"/>
        <v>Laptop</v>
      </c>
      <c r="C479" s="7" t="str">
        <f t="shared" si="3"/>
        <v>Electronics</v>
      </c>
      <c r="D479" s="7" t="str">
        <f t="shared" si="4"/>
        <v>South</v>
      </c>
      <c r="E479" s="8">
        <f t="shared" si="5"/>
        <v>582</v>
      </c>
      <c r="F479" s="8">
        <f t="shared" si="6"/>
        <v>133.86</v>
      </c>
      <c r="G479" s="9">
        <f t="shared" si="7"/>
        <v>10</v>
      </c>
      <c r="H479" s="7" t="str">
        <f t="shared" si="8"/>
        <v>Sep</v>
      </c>
      <c r="I479" s="7">
        <f t="shared" si="9"/>
        <v>9</v>
      </c>
    </row>
    <row r="480">
      <c r="A480" s="6">
        <f t="shared" si="1"/>
        <v>45658</v>
      </c>
      <c r="B480" s="7" t="str">
        <f t="shared" si="2"/>
        <v>Chair</v>
      </c>
      <c r="C480" s="7" t="str">
        <f t="shared" si="3"/>
        <v>Furniture</v>
      </c>
      <c r="D480" s="7" t="str">
        <f t="shared" si="4"/>
        <v>South</v>
      </c>
      <c r="E480" s="8">
        <f t="shared" si="5"/>
        <v>670</v>
      </c>
      <c r="F480" s="8">
        <f t="shared" si="6"/>
        <v>140.7</v>
      </c>
      <c r="G480" s="9">
        <f t="shared" si="7"/>
        <v>6</v>
      </c>
      <c r="H480" s="7" t="str">
        <f t="shared" si="8"/>
        <v>Jan</v>
      </c>
      <c r="I480" s="7">
        <f t="shared" si="9"/>
        <v>1</v>
      </c>
    </row>
    <row r="481">
      <c r="A481" s="6">
        <f t="shared" si="1"/>
        <v>45972</v>
      </c>
      <c r="B481" s="7" t="str">
        <f t="shared" si="2"/>
        <v>Monitor</v>
      </c>
      <c r="C481" s="7" t="str">
        <f t="shared" si="3"/>
        <v>Electronics</v>
      </c>
      <c r="D481" s="7" t="str">
        <f t="shared" si="4"/>
        <v>North</v>
      </c>
      <c r="E481" s="8">
        <f t="shared" si="5"/>
        <v>572</v>
      </c>
      <c r="F481" s="8">
        <f t="shared" si="6"/>
        <v>57.2</v>
      </c>
      <c r="G481" s="9">
        <f t="shared" si="7"/>
        <v>9</v>
      </c>
      <c r="H481" s="7" t="str">
        <f t="shared" si="8"/>
        <v>Nov</v>
      </c>
      <c r="I481" s="7">
        <f t="shared" si="9"/>
        <v>11</v>
      </c>
    </row>
    <row r="482">
      <c r="A482" s="6">
        <f t="shared" si="1"/>
        <v>45887</v>
      </c>
      <c r="B482" s="7" t="str">
        <f t="shared" si="2"/>
        <v>Tablet</v>
      </c>
      <c r="C482" s="7" t="str">
        <f t="shared" si="3"/>
        <v>Electronics</v>
      </c>
      <c r="D482" s="7" t="str">
        <f t="shared" si="4"/>
        <v>East</v>
      </c>
      <c r="E482" s="8">
        <f t="shared" si="5"/>
        <v>1764</v>
      </c>
      <c r="F482" s="8">
        <f t="shared" si="6"/>
        <v>405.72</v>
      </c>
      <c r="G482" s="9">
        <f t="shared" si="7"/>
        <v>10</v>
      </c>
      <c r="H482" s="7" t="str">
        <f t="shared" si="8"/>
        <v>Aug</v>
      </c>
      <c r="I482" s="7">
        <f t="shared" si="9"/>
        <v>8</v>
      </c>
    </row>
    <row r="483">
      <c r="A483" s="6">
        <f t="shared" si="1"/>
        <v>45887</v>
      </c>
      <c r="B483" s="7" t="str">
        <f t="shared" si="2"/>
        <v>Phone</v>
      </c>
      <c r="C483" s="7" t="str">
        <f t="shared" si="3"/>
        <v>Electronics</v>
      </c>
      <c r="D483" s="7" t="str">
        <f t="shared" si="4"/>
        <v>East</v>
      </c>
      <c r="E483" s="8">
        <f t="shared" si="5"/>
        <v>1336</v>
      </c>
      <c r="F483" s="8">
        <f t="shared" si="6"/>
        <v>280.56</v>
      </c>
      <c r="G483" s="9">
        <f t="shared" si="7"/>
        <v>3</v>
      </c>
      <c r="H483" s="7" t="str">
        <f t="shared" si="8"/>
        <v>Aug</v>
      </c>
      <c r="I483" s="7">
        <f t="shared" si="9"/>
        <v>8</v>
      </c>
    </row>
    <row r="484">
      <c r="A484" s="6">
        <f t="shared" si="1"/>
        <v>45822</v>
      </c>
      <c r="B484" s="7" t="str">
        <f t="shared" si="2"/>
        <v>Phone</v>
      </c>
      <c r="C484" s="7" t="str">
        <f t="shared" si="3"/>
        <v>Electronics</v>
      </c>
      <c r="D484" s="7" t="str">
        <f t="shared" si="4"/>
        <v>North</v>
      </c>
      <c r="E484" s="8">
        <f t="shared" si="5"/>
        <v>446</v>
      </c>
      <c r="F484" s="8">
        <f t="shared" si="6"/>
        <v>71.36</v>
      </c>
      <c r="G484" s="9">
        <f t="shared" si="7"/>
        <v>1</v>
      </c>
      <c r="H484" s="7" t="str">
        <f t="shared" si="8"/>
        <v>Jun</v>
      </c>
      <c r="I484" s="7">
        <f t="shared" si="9"/>
        <v>6</v>
      </c>
    </row>
    <row r="485">
      <c r="A485" s="6">
        <f t="shared" si="1"/>
        <v>45797</v>
      </c>
      <c r="B485" s="7" t="str">
        <f t="shared" si="2"/>
        <v>Chair</v>
      </c>
      <c r="C485" s="7" t="str">
        <f t="shared" si="3"/>
        <v>Furniture</v>
      </c>
      <c r="D485" s="7" t="str">
        <f t="shared" si="4"/>
        <v>East</v>
      </c>
      <c r="E485" s="8">
        <f t="shared" si="5"/>
        <v>1915</v>
      </c>
      <c r="F485" s="8">
        <f t="shared" si="6"/>
        <v>191.5</v>
      </c>
      <c r="G485" s="9">
        <f t="shared" si="7"/>
        <v>8</v>
      </c>
      <c r="H485" s="7" t="str">
        <f t="shared" si="8"/>
        <v>May</v>
      </c>
      <c r="I485" s="7">
        <f t="shared" si="9"/>
        <v>5</v>
      </c>
    </row>
    <row r="486">
      <c r="A486" s="6">
        <f t="shared" si="1"/>
        <v>45681</v>
      </c>
      <c r="B486" s="7" t="str">
        <f t="shared" si="2"/>
        <v>Monitor</v>
      </c>
      <c r="C486" s="7" t="str">
        <f t="shared" si="3"/>
        <v>Electronics</v>
      </c>
      <c r="D486" s="7" t="str">
        <f t="shared" si="4"/>
        <v>North</v>
      </c>
      <c r="E486" s="8">
        <f t="shared" si="5"/>
        <v>1224</v>
      </c>
      <c r="F486" s="8">
        <f t="shared" si="6"/>
        <v>183.6</v>
      </c>
      <c r="G486" s="9">
        <f t="shared" si="7"/>
        <v>8</v>
      </c>
      <c r="H486" s="7" t="str">
        <f t="shared" si="8"/>
        <v>Jan</v>
      </c>
      <c r="I486" s="7">
        <f t="shared" si="9"/>
        <v>1</v>
      </c>
    </row>
    <row r="487">
      <c r="A487" s="6">
        <f t="shared" si="1"/>
        <v>45720</v>
      </c>
      <c r="B487" s="7" t="str">
        <f t="shared" si="2"/>
        <v>Phone</v>
      </c>
      <c r="C487" s="7" t="str">
        <f t="shared" si="3"/>
        <v>Electronics</v>
      </c>
      <c r="D487" s="7" t="str">
        <f t="shared" si="4"/>
        <v>South</v>
      </c>
      <c r="E487" s="8">
        <f t="shared" si="5"/>
        <v>608</v>
      </c>
      <c r="F487" s="8">
        <f t="shared" si="6"/>
        <v>72.96</v>
      </c>
      <c r="G487" s="9">
        <f t="shared" si="7"/>
        <v>2</v>
      </c>
      <c r="H487" s="7" t="str">
        <f t="shared" si="8"/>
        <v>Mar</v>
      </c>
      <c r="I487" s="7">
        <f t="shared" si="9"/>
        <v>3</v>
      </c>
    </row>
    <row r="488">
      <c r="A488" s="6">
        <f t="shared" si="1"/>
        <v>45729</v>
      </c>
      <c r="B488" s="7" t="str">
        <f t="shared" si="2"/>
        <v>Phone</v>
      </c>
      <c r="C488" s="7" t="str">
        <f t="shared" si="3"/>
        <v>Electronics</v>
      </c>
      <c r="D488" s="7" t="str">
        <f t="shared" si="4"/>
        <v>East</v>
      </c>
      <c r="E488" s="8">
        <f t="shared" si="5"/>
        <v>1098</v>
      </c>
      <c r="F488" s="8">
        <f t="shared" si="6"/>
        <v>230.58</v>
      </c>
      <c r="G488" s="9">
        <f t="shared" si="7"/>
        <v>7</v>
      </c>
      <c r="H488" s="7" t="str">
        <f t="shared" si="8"/>
        <v>Mar</v>
      </c>
      <c r="I488" s="7">
        <f t="shared" si="9"/>
        <v>3</v>
      </c>
    </row>
    <row r="489">
      <c r="A489" s="6">
        <f t="shared" si="1"/>
        <v>45699</v>
      </c>
      <c r="B489" s="7" t="str">
        <f t="shared" si="2"/>
        <v>Tablet</v>
      </c>
      <c r="C489" s="7" t="str">
        <f t="shared" si="3"/>
        <v>Electronics</v>
      </c>
      <c r="D489" s="7" t="str">
        <f t="shared" si="4"/>
        <v>West</v>
      </c>
      <c r="E489" s="8">
        <f t="shared" si="5"/>
        <v>846</v>
      </c>
      <c r="F489" s="8">
        <f t="shared" si="6"/>
        <v>203.04</v>
      </c>
      <c r="G489" s="9">
        <f t="shared" si="7"/>
        <v>6</v>
      </c>
      <c r="H489" s="7" t="str">
        <f t="shared" si="8"/>
        <v>Feb</v>
      </c>
      <c r="I489" s="7">
        <f t="shared" si="9"/>
        <v>2</v>
      </c>
    </row>
    <row r="490">
      <c r="A490" s="6">
        <f t="shared" si="1"/>
        <v>45895</v>
      </c>
      <c r="B490" s="7" t="str">
        <f t="shared" si="2"/>
        <v>Tablet</v>
      </c>
      <c r="C490" s="7" t="str">
        <f t="shared" si="3"/>
        <v>Electronics</v>
      </c>
      <c r="D490" s="7" t="str">
        <f t="shared" si="4"/>
        <v>North</v>
      </c>
      <c r="E490" s="8">
        <f t="shared" si="5"/>
        <v>1691</v>
      </c>
      <c r="F490" s="8">
        <f t="shared" si="6"/>
        <v>202.92</v>
      </c>
      <c r="G490" s="9">
        <f t="shared" si="7"/>
        <v>6</v>
      </c>
      <c r="H490" s="7" t="str">
        <f t="shared" si="8"/>
        <v>Aug</v>
      </c>
      <c r="I490" s="7">
        <f t="shared" si="9"/>
        <v>8</v>
      </c>
    </row>
    <row r="491">
      <c r="A491" s="6">
        <f t="shared" si="1"/>
        <v>45975</v>
      </c>
      <c r="B491" s="7" t="str">
        <f t="shared" si="2"/>
        <v>Chair</v>
      </c>
      <c r="C491" s="7" t="str">
        <f t="shared" si="3"/>
        <v>Furniture</v>
      </c>
      <c r="D491" s="7" t="str">
        <f t="shared" si="4"/>
        <v>East</v>
      </c>
      <c r="E491" s="8">
        <f t="shared" si="5"/>
        <v>1583</v>
      </c>
      <c r="F491" s="8">
        <f t="shared" si="6"/>
        <v>316.6</v>
      </c>
      <c r="G491" s="9">
        <f t="shared" si="7"/>
        <v>5</v>
      </c>
      <c r="H491" s="7" t="str">
        <f t="shared" si="8"/>
        <v>Nov</v>
      </c>
      <c r="I491" s="7">
        <f t="shared" si="9"/>
        <v>11</v>
      </c>
    </row>
    <row r="492">
      <c r="A492" s="6">
        <f t="shared" si="1"/>
        <v>46016</v>
      </c>
      <c r="B492" s="7" t="str">
        <f t="shared" si="2"/>
        <v>Monitor</v>
      </c>
      <c r="C492" s="7" t="str">
        <f t="shared" si="3"/>
        <v>Electronics</v>
      </c>
      <c r="D492" s="7" t="str">
        <f t="shared" si="4"/>
        <v>West</v>
      </c>
      <c r="E492" s="8">
        <f t="shared" si="5"/>
        <v>1545</v>
      </c>
      <c r="F492" s="8">
        <f t="shared" si="6"/>
        <v>216.3</v>
      </c>
      <c r="G492" s="9">
        <f t="shared" si="7"/>
        <v>10</v>
      </c>
      <c r="H492" s="7" t="str">
        <f t="shared" si="8"/>
        <v>Dec</v>
      </c>
      <c r="I492" s="7">
        <f t="shared" si="9"/>
        <v>12</v>
      </c>
    </row>
    <row r="493">
      <c r="A493" s="6">
        <f t="shared" si="1"/>
        <v>45984</v>
      </c>
      <c r="B493" s="7" t="str">
        <f t="shared" si="2"/>
        <v>Monitor</v>
      </c>
      <c r="C493" s="7" t="str">
        <f t="shared" si="3"/>
        <v>Electronics</v>
      </c>
      <c r="D493" s="7" t="str">
        <f t="shared" si="4"/>
        <v>West</v>
      </c>
      <c r="E493" s="8">
        <f t="shared" si="5"/>
        <v>901</v>
      </c>
      <c r="F493" s="8">
        <f t="shared" si="6"/>
        <v>144.16</v>
      </c>
      <c r="G493" s="9">
        <f t="shared" si="7"/>
        <v>5</v>
      </c>
      <c r="H493" s="7" t="str">
        <f t="shared" si="8"/>
        <v>Nov</v>
      </c>
      <c r="I493" s="7">
        <f t="shared" si="9"/>
        <v>11</v>
      </c>
    </row>
    <row r="494">
      <c r="A494" s="6">
        <f t="shared" si="1"/>
        <v>45762</v>
      </c>
      <c r="B494" s="7" t="str">
        <f t="shared" si="2"/>
        <v>Phone</v>
      </c>
      <c r="C494" s="7" t="str">
        <f t="shared" si="3"/>
        <v>Electronics</v>
      </c>
      <c r="D494" s="7" t="str">
        <f t="shared" si="4"/>
        <v>South</v>
      </c>
      <c r="E494" s="8">
        <f t="shared" si="5"/>
        <v>391</v>
      </c>
      <c r="F494" s="8">
        <f t="shared" si="6"/>
        <v>101.66</v>
      </c>
      <c r="G494" s="9">
        <f t="shared" si="7"/>
        <v>4</v>
      </c>
      <c r="H494" s="7" t="str">
        <f t="shared" si="8"/>
        <v>Apr</v>
      </c>
      <c r="I494" s="7">
        <f t="shared" si="9"/>
        <v>4</v>
      </c>
    </row>
    <row r="495">
      <c r="A495" s="6">
        <f t="shared" si="1"/>
        <v>45661</v>
      </c>
      <c r="B495" s="7" t="str">
        <f t="shared" si="2"/>
        <v>Phone</v>
      </c>
      <c r="C495" s="7" t="str">
        <f t="shared" si="3"/>
        <v>Electronics</v>
      </c>
      <c r="D495" s="7" t="str">
        <f t="shared" si="4"/>
        <v>East</v>
      </c>
      <c r="E495" s="8">
        <f t="shared" si="5"/>
        <v>1866</v>
      </c>
      <c r="F495" s="8">
        <f t="shared" si="6"/>
        <v>261.24</v>
      </c>
      <c r="G495" s="9">
        <f t="shared" si="7"/>
        <v>5</v>
      </c>
      <c r="H495" s="7" t="str">
        <f t="shared" si="8"/>
        <v>Jan</v>
      </c>
      <c r="I495" s="7">
        <f t="shared" si="9"/>
        <v>1</v>
      </c>
    </row>
    <row r="496">
      <c r="A496" s="6">
        <f t="shared" si="1"/>
        <v>45812</v>
      </c>
      <c r="B496" s="7" t="str">
        <f t="shared" si="2"/>
        <v>Table</v>
      </c>
      <c r="C496" s="7" t="str">
        <f t="shared" si="3"/>
        <v>Furniture</v>
      </c>
      <c r="D496" s="7" t="str">
        <f t="shared" si="4"/>
        <v>West</v>
      </c>
      <c r="E496" s="8">
        <f t="shared" si="5"/>
        <v>780</v>
      </c>
      <c r="F496" s="8">
        <f t="shared" si="6"/>
        <v>226.2</v>
      </c>
      <c r="G496" s="9">
        <f t="shared" si="7"/>
        <v>5</v>
      </c>
      <c r="H496" s="7" t="str">
        <f t="shared" si="8"/>
        <v>Jun</v>
      </c>
      <c r="I496" s="7">
        <f t="shared" si="9"/>
        <v>6</v>
      </c>
    </row>
    <row r="497">
      <c r="A497" s="6">
        <f t="shared" si="1"/>
        <v>45771</v>
      </c>
      <c r="B497" s="7" t="str">
        <f t="shared" si="2"/>
        <v>Monitor</v>
      </c>
      <c r="C497" s="7" t="str">
        <f t="shared" si="3"/>
        <v>Electronics</v>
      </c>
      <c r="D497" s="7" t="str">
        <f t="shared" si="4"/>
        <v>West</v>
      </c>
      <c r="E497" s="8">
        <f t="shared" si="5"/>
        <v>986</v>
      </c>
      <c r="F497" s="8">
        <f t="shared" si="6"/>
        <v>295.8</v>
      </c>
      <c r="G497" s="9">
        <f t="shared" si="7"/>
        <v>8</v>
      </c>
      <c r="H497" s="7" t="str">
        <f t="shared" si="8"/>
        <v>Apr</v>
      </c>
      <c r="I497" s="7">
        <f t="shared" si="9"/>
        <v>4</v>
      </c>
    </row>
    <row r="498">
      <c r="A498" s="6">
        <f t="shared" si="1"/>
        <v>45934</v>
      </c>
      <c r="B498" s="7" t="str">
        <f t="shared" si="2"/>
        <v>Laptop</v>
      </c>
      <c r="C498" s="7" t="str">
        <f t="shared" si="3"/>
        <v>Electronics</v>
      </c>
      <c r="D498" s="7" t="str">
        <f t="shared" si="4"/>
        <v>East</v>
      </c>
      <c r="E498" s="8">
        <f t="shared" si="5"/>
        <v>679</v>
      </c>
      <c r="F498" s="8">
        <f t="shared" si="6"/>
        <v>67.9</v>
      </c>
      <c r="G498" s="9">
        <f t="shared" si="7"/>
        <v>3</v>
      </c>
      <c r="H498" s="7" t="str">
        <f t="shared" si="8"/>
        <v>Oct</v>
      </c>
      <c r="I498" s="7">
        <f t="shared" si="9"/>
        <v>10</v>
      </c>
    </row>
    <row r="499">
      <c r="A499" s="6">
        <f t="shared" si="1"/>
        <v>45841</v>
      </c>
      <c r="B499" s="7" t="str">
        <f t="shared" si="2"/>
        <v>Table</v>
      </c>
      <c r="C499" s="7" t="str">
        <f t="shared" si="3"/>
        <v>Furniture</v>
      </c>
      <c r="D499" s="7" t="str">
        <f t="shared" si="4"/>
        <v>East</v>
      </c>
      <c r="E499" s="8">
        <f t="shared" si="5"/>
        <v>1404</v>
      </c>
      <c r="F499" s="8">
        <f t="shared" si="6"/>
        <v>407.16</v>
      </c>
      <c r="G499" s="9">
        <f t="shared" si="7"/>
        <v>7</v>
      </c>
      <c r="H499" s="7" t="str">
        <f t="shared" si="8"/>
        <v>Jul</v>
      </c>
      <c r="I499" s="7">
        <f t="shared" si="9"/>
        <v>7</v>
      </c>
    </row>
    <row r="500">
      <c r="A500" s="6">
        <f t="shared" si="1"/>
        <v>45751</v>
      </c>
      <c r="B500" s="7" t="str">
        <f t="shared" si="2"/>
        <v>Laptop</v>
      </c>
      <c r="C500" s="7" t="str">
        <f t="shared" si="3"/>
        <v>Electronics</v>
      </c>
      <c r="D500" s="7" t="str">
        <f t="shared" si="4"/>
        <v>East</v>
      </c>
      <c r="E500" s="8">
        <f t="shared" si="5"/>
        <v>1862</v>
      </c>
      <c r="F500" s="8">
        <f t="shared" si="6"/>
        <v>558.6</v>
      </c>
      <c r="G500" s="9">
        <f t="shared" si="7"/>
        <v>2</v>
      </c>
      <c r="H500" s="7" t="str">
        <f t="shared" si="8"/>
        <v>Apr</v>
      </c>
      <c r="I500" s="7">
        <f t="shared" si="9"/>
        <v>4</v>
      </c>
    </row>
    <row r="501">
      <c r="A501" s="6">
        <f t="shared" si="1"/>
        <v>45984</v>
      </c>
      <c r="B501" s="7" t="str">
        <f t="shared" si="2"/>
        <v>Chair</v>
      </c>
      <c r="C501" s="7" t="str">
        <f t="shared" si="3"/>
        <v>Furniture</v>
      </c>
      <c r="D501" s="7" t="str">
        <f t="shared" si="4"/>
        <v>South</v>
      </c>
      <c r="E501" s="8">
        <f t="shared" si="5"/>
        <v>1937</v>
      </c>
      <c r="F501" s="8">
        <f t="shared" si="6"/>
        <v>484.25</v>
      </c>
      <c r="G501" s="9">
        <f t="shared" si="7"/>
        <v>8</v>
      </c>
      <c r="H501" s="7" t="str">
        <f t="shared" si="8"/>
        <v>Nov</v>
      </c>
      <c r="I501" s="7">
        <f t="shared" si="9"/>
        <v>11</v>
      </c>
    </row>
    <row r="502">
      <c r="A502" s="6">
        <f t="shared" si="1"/>
        <v>45874</v>
      </c>
      <c r="B502" s="7" t="str">
        <f t="shared" si="2"/>
        <v>Phone</v>
      </c>
      <c r="C502" s="7" t="str">
        <f t="shared" si="3"/>
        <v>Electronics</v>
      </c>
      <c r="D502" s="7" t="str">
        <f t="shared" si="4"/>
        <v>South</v>
      </c>
      <c r="E502" s="8">
        <f t="shared" si="5"/>
        <v>665</v>
      </c>
      <c r="F502" s="8">
        <f t="shared" si="6"/>
        <v>146.3</v>
      </c>
      <c r="G502" s="9">
        <f t="shared" si="7"/>
        <v>9</v>
      </c>
      <c r="H502" s="7" t="str">
        <f t="shared" si="8"/>
        <v>Aug</v>
      </c>
      <c r="I502" s="7">
        <f t="shared" si="9"/>
        <v>8</v>
      </c>
    </row>
    <row r="503">
      <c r="A503" s="6">
        <f t="shared" si="1"/>
        <v>45797</v>
      </c>
      <c r="B503" s="7" t="str">
        <f t="shared" si="2"/>
        <v>Phone</v>
      </c>
      <c r="C503" s="7" t="str">
        <f t="shared" si="3"/>
        <v>Electronics</v>
      </c>
      <c r="D503" s="7" t="str">
        <f t="shared" si="4"/>
        <v>West</v>
      </c>
      <c r="E503" s="8">
        <f t="shared" si="5"/>
        <v>571</v>
      </c>
      <c r="F503" s="8">
        <f t="shared" si="6"/>
        <v>102.78</v>
      </c>
      <c r="G503" s="9">
        <f t="shared" si="7"/>
        <v>4</v>
      </c>
      <c r="H503" s="7" t="str">
        <f t="shared" si="8"/>
        <v>May</v>
      </c>
      <c r="I503" s="7">
        <f t="shared" si="9"/>
        <v>5</v>
      </c>
    </row>
    <row r="504">
      <c r="A504" s="6">
        <f t="shared" si="1"/>
        <v>45849</v>
      </c>
      <c r="B504" s="7" t="str">
        <f t="shared" si="2"/>
        <v>Tablet</v>
      </c>
      <c r="C504" s="7" t="str">
        <f t="shared" si="3"/>
        <v>Electronics</v>
      </c>
      <c r="D504" s="7" t="str">
        <f t="shared" si="4"/>
        <v>South</v>
      </c>
      <c r="E504" s="8">
        <f t="shared" si="5"/>
        <v>776</v>
      </c>
      <c r="F504" s="8">
        <f t="shared" si="6"/>
        <v>194</v>
      </c>
      <c r="G504" s="9">
        <f t="shared" si="7"/>
        <v>1</v>
      </c>
      <c r="H504" s="7" t="str">
        <f t="shared" si="8"/>
        <v>Jul</v>
      </c>
      <c r="I504" s="7">
        <f t="shared" si="9"/>
        <v>7</v>
      </c>
    </row>
    <row r="505">
      <c r="A505" s="6">
        <f t="shared" si="1"/>
        <v>45696</v>
      </c>
      <c r="B505" s="7" t="str">
        <f t="shared" si="2"/>
        <v>Chair</v>
      </c>
      <c r="C505" s="7" t="str">
        <f t="shared" si="3"/>
        <v>Furniture</v>
      </c>
      <c r="D505" s="7" t="str">
        <f t="shared" si="4"/>
        <v>West</v>
      </c>
      <c r="E505" s="8">
        <f t="shared" si="5"/>
        <v>1112</v>
      </c>
      <c r="F505" s="8">
        <f t="shared" si="6"/>
        <v>177.92</v>
      </c>
      <c r="G505" s="9">
        <f t="shared" si="7"/>
        <v>2</v>
      </c>
      <c r="H505" s="7" t="str">
        <f t="shared" si="8"/>
        <v>Feb</v>
      </c>
      <c r="I505" s="7">
        <f t="shared" si="9"/>
        <v>2</v>
      </c>
    </row>
    <row r="506">
      <c r="A506" s="6">
        <f t="shared" si="1"/>
        <v>45689</v>
      </c>
      <c r="B506" s="7" t="str">
        <f t="shared" si="2"/>
        <v>Monitor</v>
      </c>
      <c r="C506" s="7" t="str">
        <f t="shared" si="3"/>
        <v>Electronics</v>
      </c>
      <c r="D506" s="7" t="str">
        <f t="shared" si="4"/>
        <v>West</v>
      </c>
      <c r="E506" s="8">
        <f t="shared" si="5"/>
        <v>1105</v>
      </c>
      <c r="F506" s="8">
        <f t="shared" si="6"/>
        <v>209.95</v>
      </c>
      <c r="G506" s="9">
        <f t="shared" si="7"/>
        <v>7</v>
      </c>
      <c r="H506" s="7" t="str">
        <f t="shared" si="8"/>
        <v>Feb</v>
      </c>
      <c r="I506" s="7">
        <f t="shared" si="9"/>
        <v>2</v>
      </c>
    </row>
    <row r="507">
      <c r="A507" s="6">
        <f t="shared" si="1"/>
        <v>45944</v>
      </c>
      <c r="B507" s="7" t="str">
        <f t="shared" si="2"/>
        <v>Tablet</v>
      </c>
      <c r="C507" s="7" t="str">
        <f t="shared" si="3"/>
        <v>Electronics</v>
      </c>
      <c r="D507" s="7" t="str">
        <f t="shared" si="4"/>
        <v>East</v>
      </c>
      <c r="E507" s="8">
        <f t="shared" si="5"/>
        <v>799</v>
      </c>
      <c r="F507" s="8">
        <f t="shared" si="6"/>
        <v>79.9</v>
      </c>
      <c r="G507" s="9">
        <f t="shared" si="7"/>
        <v>2</v>
      </c>
      <c r="H507" s="7" t="str">
        <f t="shared" si="8"/>
        <v>Oct</v>
      </c>
      <c r="I507" s="7">
        <f t="shared" si="9"/>
        <v>10</v>
      </c>
    </row>
    <row r="508">
      <c r="A508" s="6">
        <f t="shared" si="1"/>
        <v>45934</v>
      </c>
      <c r="B508" s="7" t="str">
        <f t="shared" si="2"/>
        <v>Tablet</v>
      </c>
      <c r="C508" s="7" t="str">
        <f t="shared" si="3"/>
        <v>Electronics</v>
      </c>
      <c r="D508" s="7" t="str">
        <f t="shared" si="4"/>
        <v>South</v>
      </c>
      <c r="E508" s="8">
        <f t="shared" si="5"/>
        <v>252</v>
      </c>
      <c r="F508" s="8">
        <f t="shared" si="6"/>
        <v>35.28</v>
      </c>
      <c r="G508" s="9">
        <f t="shared" si="7"/>
        <v>2</v>
      </c>
      <c r="H508" s="7" t="str">
        <f t="shared" si="8"/>
        <v>Oct</v>
      </c>
      <c r="I508" s="7">
        <f t="shared" si="9"/>
        <v>10</v>
      </c>
    </row>
    <row r="509">
      <c r="A509" s="6">
        <f t="shared" si="1"/>
        <v>45998</v>
      </c>
      <c r="B509" s="7" t="str">
        <f t="shared" si="2"/>
        <v>Tablet</v>
      </c>
      <c r="C509" s="7" t="str">
        <f t="shared" si="3"/>
        <v>Electronics</v>
      </c>
      <c r="D509" s="7" t="str">
        <f t="shared" si="4"/>
        <v>North</v>
      </c>
      <c r="E509" s="8">
        <f t="shared" si="5"/>
        <v>1142</v>
      </c>
      <c r="F509" s="8">
        <f t="shared" si="6"/>
        <v>251.24</v>
      </c>
      <c r="G509" s="9">
        <f t="shared" si="7"/>
        <v>10</v>
      </c>
      <c r="H509" s="7" t="str">
        <f t="shared" si="8"/>
        <v>Dec</v>
      </c>
      <c r="I509" s="7">
        <f t="shared" si="9"/>
        <v>12</v>
      </c>
    </row>
    <row r="510">
      <c r="A510" s="6">
        <f t="shared" si="1"/>
        <v>45917</v>
      </c>
      <c r="B510" s="7" t="str">
        <f t="shared" si="2"/>
        <v>Chair</v>
      </c>
      <c r="C510" s="7" t="str">
        <f t="shared" si="3"/>
        <v>Furniture</v>
      </c>
      <c r="D510" s="7" t="str">
        <f t="shared" si="4"/>
        <v>South</v>
      </c>
      <c r="E510" s="8">
        <f t="shared" si="5"/>
        <v>479</v>
      </c>
      <c r="F510" s="8">
        <f t="shared" si="6"/>
        <v>86.22</v>
      </c>
      <c r="G510" s="9">
        <f t="shared" si="7"/>
        <v>6</v>
      </c>
      <c r="H510" s="7" t="str">
        <f t="shared" si="8"/>
        <v>Sep</v>
      </c>
      <c r="I510" s="7">
        <f t="shared" si="9"/>
        <v>9</v>
      </c>
    </row>
    <row r="511">
      <c r="A511" s="6">
        <f t="shared" si="1"/>
        <v>45984</v>
      </c>
      <c r="B511" s="7" t="str">
        <f t="shared" si="2"/>
        <v>Table</v>
      </c>
      <c r="C511" s="7" t="str">
        <f t="shared" si="3"/>
        <v>Furniture</v>
      </c>
      <c r="D511" s="7" t="str">
        <f t="shared" si="4"/>
        <v>East</v>
      </c>
      <c r="E511" s="8">
        <f t="shared" si="5"/>
        <v>564</v>
      </c>
      <c r="F511" s="8">
        <f t="shared" si="6"/>
        <v>129.72</v>
      </c>
      <c r="G511" s="9">
        <f t="shared" si="7"/>
        <v>2</v>
      </c>
      <c r="H511" s="7" t="str">
        <f t="shared" si="8"/>
        <v>Nov</v>
      </c>
      <c r="I511" s="7">
        <f t="shared" si="9"/>
        <v>11</v>
      </c>
    </row>
    <row r="512">
      <c r="A512" s="6">
        <f t="shared" si="1"/>
        <v>45825</v>
      </c>
      <c r="B512" s="7" t="str">
        <f t="shared" si="2"/>
        <v>Chair</v>
      </c>
      <c r="C512" s="7" t="str">
        <f t="shared" si="3"/>
        <v>Furniture</v>
      </c>
      <c r="D512" s="7" t="str">
        <f t="shared" si="4"/>
        <v>North</v>
      </c>
      <c r="E512" s="8">
        <f t="shared" si="5"/>
        <v>1360</v>
      </c>
      <c r="F512" s="8">
        <f t="shared" si="6"/>
        <v>326.4</v>
      </c>
      <c r="G512" s="9">
        <f t="shared" si="7"/>
        <v>5</v>
      </c>
      <c r="H512" s="7" t="str">
        <f t="shared" si="8"/>
        <v>Jun</v>
      </c>
      <c r="I512" s="7">
        <f t="shared" si="9"/>
        <v>6</v>
      </c>
    </row>
    <row r="513">
      <c r="A513" s="6">
        <f t="shared" si="1"/>
        <v>45828</v>
      </c>
      <c r="B513" s="7" t="str">
        <f t="shared" si="2"/>
        <v>Phone</v>
      </c>
      <c r="C513" s="7" t="str">
        <f t="shared" si="3"/>
        <v>Electronics</v>
      </c>
      <c r="D513" s="7" t="str">
        <f t="shared" si="4"/>
        <v>North</v>
      </c>
      <c r="E513" s="8">
        <f t="shared" si="5"/>
        <v>1371</v>
      </c>
      <c r="F513" s="8">
        <f t="shared" si="6"/>
        <v>329.04</v>
      </c>
      <c r="G513" s="9">
        <f t="shared" si="7"/>
        <v>2</v>
      </c>
      <c r="H513" s="7" t="str">
        <f t="shared" si="8"/>
        <v>Jun</v>
      </c>
      <c r="I513" s="7">
        <f t="shared" si="9"/>
        <v>6</v>
      </c>
    </row>
    <row r="514">
      <c r="A514" s="6">
        <f t="shared" si="1"/>
        <v>45703</v>
      </c>
      <c r="B514" s="7" t="str">
        <f t="shared" si="2"/>
        <v>Monitor</v>
      </c>
      <c r="C514" s="7" t="str">
        <f t="shared" si="3"/>
        <v>Electronics</v>
      </c>
      <c r="D514" s="7" t="str">
        <f t="shared" si="4"/>
        <v>South</v>
      </c>
      <c r="E514" s="8">
        <f t="shared" si="5"/>
        <v>1114</v>
      </c>
      <c r="F514" s="8">
        <f t="shared" si="6"/>
        <v>133.68</v>
      </c>
      <c r="G514" s="9">
        <f t="shared" si="7"/>
        <v>6</v>
      </c>
      <c r="H514" s="7" t="str">
        <f t="shared" si="8"/>
        <v>Feb</v>
      </c>
      <c r="I514" s="7">
        <f t="shared" si="9"/>
        <v>2</v>
      </c>
    </row>
    <row r="515">
      <c r="A515" s="6">
        <f t="shared" si="1"/>
        <v>45802</v>
      </c>
      <c r="B515" s="7" t="str">
        <f t="shared" si="2"/>
        <v>Laptop</v>
      </c>
      <c r="C515" s="7" t="str">
        <f t="shared" si="3"/>
        <v>Electronics</v>
      </c>
      <c r="D515" s="7" t="str">
        <f t="shared" si="4"/>
        <v>East</v>
      </c>
      <c r="E515" s="8">
        <f t="shared" si="5"/>
        <v>1455</v>
      </c>
      <c r="F515" s="8">
        <f t="shared" si="6"/>
        <v>160.05</v>
      </c>
      <c r="G515" s="9">
        <f t="shared" si="7"/>
        <v>2</v>
      </c>
      <c r="H515" s="7" t="str">
        <f t="shared" si="8"/>
        <v>May</v>
      </c>
      <c r="I515" s="7">
        <f t="shared" si="9"/>
        <v>5</v>
      </c>
    </row>
    <row r="516">
      <c r="A516" s="6">
        <f t="shared" si="1"/>
        <v>45969</v>
      </c>
      <c r="B516" s="7" t="str">
        <f t="shared" si="2"/>
        <v>Phone</v>
      </c>
      <c r="C516" s="7" t="str">
        <f t="shared" si="3"/>
        <v>Electronics</v>
      </c>
      <c r="D516" s="7" t="str">
        <f t="shared" si="4"/>
        <v>North</v>
      </c>
      <c r="E516" s="8">
        <f t="shared" si="5"/>
        <v>1041</v>
      </c>
      <c r="F516" s="8">
        <f t="shared" si="6"/>
        <v>301.89</v>
      </c>
      <c r="G516" s="9">
        <f t="shared" si="7"/>
        <v>3</v>
      </c>
      <c r="H516" s="7" t="str">
        <f t="shared" si="8"/>
        <v>Nov</v>
      </c>
      <c r="I516" s="7">
        <f t="shared" si="9"/>
        <v>11</v>
      </c>
    </row>
    <row r="517">
      <c r="A517" s="6">
        <f t="shared" si="1"/>
        <v>45788</v>
      </c>
      <c r="B517" s="7" t="str">
        <f t="shared" si="2"/>
        <v>Tablet</v>
      </c>
      <c r="C517" s="7" t="str">
        <f t="shared" si="3"/>
        <v>Electronics</v>
      </c>
      <c r="D517" s="7" t="str">
        <f t="shared" si="4"/>
        <v>South</v>
      </c>
      <c r="E517" s="8">
        <f t="shared" si="5"/>
        <v>929</v>
      </c>
      <c r="F517" s="8">
        <f t="shared" si="6"/>
        <v>269.41</v>
      </c>
      <c r="G517" s="9">
        <f t="shared" si="7"/>
        <v>7</v>
      </c>
      <c r="H517" s="7" t="str">
        <f t="shared" si="8"/>
        <v>May</v>
      </c>
      <c r="I517" s="7">
        <f t="shared" si="9"/>
        <v>5</v>
      </c>
    </row>
    <row r="518">
      <c r="A518" s="6">
        <f t="shared" si="1"/>
        <v>45841</v>
      </c>
      <c r="B518" s="7" t="str">
        <f t="shared" si="2"/>
        <v>Laptop</v>
      </c>
      <c r="C518" s="7" t="str">
        <f t="shared" si="3"/>
        <v>Electronics</v>
      </c>
      <c r="D518" s="7" t="str">
        <f t="shared" si="4"/>
        <v>East</v>
      </c>
      <c r="E518" s="8">
        <f t="shared" si="5"/>
        <v>1293</v>
      </c>
      <c r="F518" s="8">
        <f t="shared" si="6"/>
        <v>362.04</v>
      </c>
      <c r="G518" s="9">
        <f t="shared" si="7"/>
        <v>9</v>
      </c>
      <c r="H518" s="7" t="str">
        <f t="shared" si="8"/>
        <v>Jul</v>
      </c>
      <c r="I518" s="7">
        <f t="shared" si="9"/>
        <v>7</v>
      </c>
    </row>
    <row r="519">
      <c r="A519" s="6">
        <f t="shared" si="1"/>
        <v>45992</v>
      </c>
      <c r="B519" s="7" t="str">
        <f t="shared" si="2"/>
        <v>Monitor</v>
      </c>
      <c r="C519" s="7" t="str">
        <f t="shared" si="3"/>
        <v>Electronics</v>
      </c>
      <c r="D519" s="7" t="str">
        <f t="shared" si="4"/>
        <v>North</v>
      </c>
      <c r="E519" s="8">
        <f t="shared" si="5"/>
        <v>1577</v>
      </c>
      <c r="F519" s="8">
        <f t="shared" si="6"/>
        <v>315.4</v>
      </c>
      <c r="G519" s="9">
        <f t="shared" si="7"/>
        <v>7</v>
      </c>
      <c r="H519" s="7" t="str">
        <f t="shared" si="8"/>
        <v>Dec</v>
      </c>
      <c r="I519" s="7">
        <f t="shared" si="9"/>
        <v>12</v>
      </c>
    </row>
    <row r="520">
      <c r="A520" s="6">
        <f t="shared" si="1"/>
        <v>45865</v>
      </c>
      <c r="B520" s="7" t="str">
        <f t="shared" si="2"/>
        <v>Tablet</v>
      </c>
      <c r="C520" s="7" t="str">
        <f t="shared" si="3"/>
        <v>Electronics</v>
      </c>
      <c r="D520" s="7" t="str">
        <f t="shared" si="4"/>
        <v>South</v>
      </c>
      <c r="E520" s="8">
        <f t="shared" si="5"/>
        <v>523</v>
      </c>
      <c r="F520" s="8">
        <f t="shared" si="6"/>
        <v>73.22</v>
      </c>
      <c r="G520" s="9">
        <f t="shared" si="7"/>
        <v>2</v>
      </c>
      <c r="H520" s="7" t="str">
        <f t="shared" si="8"/>
        <v>Jul</v>
      </c>
      <c r="I520" s="7">
        <f t="shared" si="9"/>
        <v>7</v>
      </c>
    </row>
    <row r="521">
      <c r="A521" s="6">
        <f t="shared" si="1"/>
        <v>45911</v>
      </c>
      <c r="B521" s="7" t="str">
        <f t="shared" si="2"/>
        <v>Table</v>
      </c>
      <c r="C521" s="7" t="str">
        <f t="shared" si="3"/>
        <v>Furniture</v>
      </c>
      <c r="D521" s="7" t="str">
        <f t="shared" si="4"/>
        <v>East</v>
      </c>
      <c r="E521" s="8">
        <f t="shared" si="5"/>
        <v>1163</v>
      </c>
      <c r="F521" s="8">
        <f t="shared" si="6"/>
        <v>279.12</v>
      </c>
      <c r="G521" s="9">
        <f t="shared" si="7"/>
        <v>4</v>
      </c>
      <c r="H521" s="7" t="str">
        <f t="shared" si="8"/>
        <v>Sep</v>
      </c>
      <c r="I521" s="7">
        <f t="shared" si="9"/>
        <v>9</v>
      </c>
    </row>
    <row r="522">
      <c r="A522" s="6">
        <f t="shared" si="1"/>
        <v>45767</v>
      </c>
      <c r="B522" s="7" t="str">
        <f t="shared" si="2"/>
        <v>Tablet</v>
      </c>
      <c r="C522" s="7" t="str">
        <f t="shared" si="3"/>
        <v>Electronics</v>
      </c>
      <c r="D522" s="7" t="str">
        <f t="shared" si="4"/>
        <v>East</v>
      </c>
      <c r="E522" s="8">
        <f t="shared" si="5"/>
        <v>1675</v>
      </c>
      <c r="F522" s="8">
        <f t="shared" si="6"/>
        <v>502.5</v>
      </c>
      <c r="G522" s="9">
        <f t="shared" si="7"/>
        <v>5</v>
      </c>
      <c r="H522" s="7" t="str">
        <f t="shared" si="8"/>
        <v>Apr</v>
      </c>
      <c r="I522" s="7">
        <f t="shared" si="9"/>
        <v>4</v>
      </c>
    </row>
    <row r="523">
      <c r="A523" s="6">
        <f t="shared" si="1"/>
        <v>45968</v>
      </c>
      <c r="B523" s="7" t="str">
        <f t="shared" si="2"/>
        <v>Chair</v>
      </c>
      <c r="C523" s="7" t="str">
        <f t="shared" si="3"/>
        <v>Furniture</v>
      </c>
      <c r="D523" s="7" t="str">
        <f t="shared" si="4"/>
        <v>South</v>
      </c>
      <c r="E523" s="8">
        <f t="shared" si="5"/>
        <v>776</v>
      </c>
      <c r="F523" s="8">
        <f t="shared" si="6"/>
        <v>225.04</v>
      </c>
      <c r="G523" s="9">
        <f t="shared" si="7"/>
        <v>5</v>
      </c>
      <c r="H523" s="7" t="str">
        <f t="shared" si="8"/>
        <v>Nov</v>
      </c>
      <c r="I523" s="7">
        <f t="shared" si="9"/>
        <v>11</v>
      </c>
    </row>
    <row r="524">
      <c r="A524" s="6">
        <f t="shared" si="1"/>
        <v>45758</v>
      </c>
      <c r="B524" s="7" t="str">
        <f t="shared" si="2"/>
        <v>Table</v>
      </c>
      <c r="C524" s="7" t="str">
        <f t="shared" si="3"/>
        <v>Furniture</v>
      </c>
      <c r="D524" s="7" t="str">
        <f t="shared" si="4"/>
        <v>West</v>
      </c>
      <c r="E524" s="8">
        <f t="shared" si="5"/>
        <v>1438</v>
      </c>
      <c r="F524" s="8">
        <f t="shared" si="6"/>
        <v>359.5</v>
      </c>
      <c r="G524" s="9">
        <f t="shared" si="7"/>
        <v>9</v>
      </c>
      <c r="H524" s="7" t="str">
        <f t="shared" si="8"/>
        <v>Apr</v>
      </c>
      <c r="I524" s="7">
        <f t="shared" si="9"/>
        <v>4</v>
      </c>
    </row>
    <row r="525">
      <c r="A525" s="6">
        <f t="shared" si="1"/>
        <v>45789</v>
      </c>
      <c r="B525" s="7" t="str">
        <f t="shared" si="2"/>
        <v>Monitor</v>
      </c>
      <c r="C525" s="7" t="str">
        <f t="shared" si="3"/>
        <v>Electronics</v>
      </c>
      <c r="D525" s="7" t="str">
        <f t="shared" si="4"/>
        <v>West</v>
      </c>
      <c r="E525" s="8">
        <f t="shared" si="5"/>
        <v>1608</v>
      </c>
      <c r="F525" s="8">
        <f t="shared" si="6"/>
        <v>385.92</v>
      </c>
      <c r="G525" s="9">
        <f t="shared" si="7"/>
        <v>2</v>
      </c>
      <c r="H525" s="7" t="str">
        <f t="shared" si="8"/>
        <v>May</v>
      </c>
      <c r="I525" s="7">
        <f t="shared" si="9"/>
        <v>5</v>
      </c>
    </row>
    <row r="526">
      <c r="A526" s="6">
        <f t="shared" si="1"/>
        <v>45920</v>
      </c>
      <c r="B526" s="7" t="str">
        <f t="shared" si="2"/>
        <v>Laptop</v>
      </c>
      <c r="C526" s="7" t="str">
        <f t="shared" si="3"/>
        <v>Electronics</v>
      </c>
      <c r="D526" s="7" t="str">
        <f t="shared" si="4"/>
        <v>East</v>
      </c>
      <c r="E526" s="8">
        <f t="shared" si="5"/>
        <v>1022</v>
      </c>
      <c r="F526" s="8">
        <f t="shared" si="6"/>
        <v>112.42</v>
      </c>
      <c r="G526" s="9">
        <f t="shared" si="7"/>
        <v>5</v>
      </c>
      <c r="H526" s="7" t="str">
        <f t="shared" si="8"/>
        <v>Sep</v>
      </c>
      <c r="I526" s="7">
        <f t="shared" si="9"/>
        <v>9</v>
      </c>
    </row>
    <row r="527">
      <c r="A527" s="6">
        <f t="shared" si="1"/>
        <v>45673</v>
      </c>
      <c r="B527" s="7" t="str">
        <f t="shared" si="2"/>
        <v>Tablet</v>
      </c>
      <c r="C527" s="7" t="str">
        <f t="shared" si="3"/>
        <v>Electronics</v>
      </c>
      <c r="D527" s="7" t="str">
        <f t="shared" si="4"/>
        <v>East</v>
      </c>
      <c r="E527" s="8">
        <f t="shared" si="5"/>
        <v>1222</v>
      </c>
      <c r="F527" s="8">
        <f t="shared" si="6"/>
        <v>268.84</v>
      </c>
      <c r="G527" s="9">
        <f t="shared" si="7"/>
        <v>2</v>
      </c>
      <c r="H527" s="7" t="str">
        <f t="shared" si="8"/>
        <v>Jan</v>
      </c>
      <c r="I527" s="7">
        <f t="shared" si="9"/>
        <v>1</v>
      </c>
    </row>
    <row r="528">
      <c r="A528" s="6">
        <f t="shared" si="1"/>
        <v>45851</v>
      </c>
      <c r="B528" s="7" t="str">
        <f t="shared" si="2"/>
        <v>Monitor</v>
      </c>
      <c r="C528" s="7" t="str">
        <f t="shared" si="3"/>
        <v>Electronics</v>
      </c>
      <c r="D528" s="7" t="str">
        <f t="shared" si="4"/>
        <v>West</v>
      </c>
      <c r="E528" s="8">
        <f t="shared" si="5"/>
        <v>1934</v>
      </c>
      <c r="F528" s="8">
        <f t="shared" si="6"/>
        <v>193.4</v>
      </c>
      <c r="G528" s="9">
        <f t="shared" si="7"/>
        <v>8</v>
      </c>
      <c r="H528" s="7" t="str">
        <f t="shared" si="8"/>
        <v>Jul</v>
      </c>
      <c r="I528" s="7">
        <f t="shared" si="9"/>
        <v>7</v>
      </c>
    </row>
    <row r="529">
      <c r="A529" s="6">
        <f t="shared" si="1"/>
        <v>45927</v>
      </c>
      <c r="B529" s="7" t="str">
        <f t="shared" si="2"/>
        <v>Laptop</v>
      </c>
      <c r="C529" s="7" t="str">
        <f t="shared" si="3"/>
        <v>Electronics</v>
      </c>
      <c r="D529" s="7" t="str">
        <f t="shared" si="4"/>
        <v>East</v>
      </c>
      <c r="E529" s="8">
        <f t="shared" si="5"/>
        <v>209</v>
      </c>
      <c r="F529" s="8">
        <f t="shared" si="6"/>
        <v>41.8</v>
      </c>
      <c r="G529" s="9">
        <f t="shared" si="7"/>
        <v>4</v>
      </c>
      <c r="H529" s="7" t="str">
        <f t="shared" si="8"/>
        <v>Sep</v>
      </c>
      <c r="I529" s="7">
        <f t="shared" si="9"/>
        <v>9</v>
      </c>
    </row>
    <row r="530">
      <c r="A530" s="6">
        <f t="shared" si="1"/>
        <v>45695</v>
      </c>
      <c r="B530" s="7" t="str">
        <f t="shared" si="2"/>
        <v>Chair</v>
      </c>
      <c r="C530" s="7" t="str">
        <f t="shared" si="3"/>
        <v>Furniture</v>
      </c>
      <c r="D530" s="7" t="str">
        <f t="shared" si="4"/>
        <v>West</v>
      </c>
      <c r="E530" s="8">
        <f t="shared" si="5"/>
        <v>1623</v>
      </c>
      <c r="F530" s="8">
        <f t="shared" si="6"/>
        <v>405.75</v>
      </c>
      <c r="G530" s="9">
        <f t="shared" si="7"/>
        <v>9</v>
      </c>
      <c r="H530" s="7" t="str">
        <f t="shared" si="8"/>
        <v>Feb</v>
      </c>
      <c r="I530" s="7">
        <f t="shared" si="9"/>
        <v>2</v>
      </c>
    </row>
    <row r="531">
      <c r="A531" s="6">
        <f t="shared" si="1"/>
        <v>45949</v>
      </c>
      <c r="B531" s="7" t="str">
        <f t="shared" si="2"/>
        <v>Monitor</v>
      </c>
      <c r="C531" s="7" t="str">
        <f t="shared" si="3"/>
        <v>Electronics</v>
      </c>
      <c r="D531" s="7" t="str">
        <f t="shared" si="4"/>
        <v>West</v>
      </c>
      <c r="E531" s="8">
        <f t="shared" si="5"/>
        <v>1817</v>
      </c>
      <c r="F531" s="8">
        <f t="shared" si="6"/>
        <v>472.42</v>
      </c>
      <c r="G531" s="9">
        <f t="shared" si="7"/>
        <v>1</v>
      </c>
      <c r="H531" s="7" t="str">
        <f t="shared" si="8"/>
        <v>Oct</v>
      </c>
      <c r="I531" s="7">
        <f t="shared" si="9"/>
        <v>10</v>
      </c>
    </row>
    <row r="532">
      <c r="A532" s="6">
        <f t="shared" si="1"/>
        <v>45989</v>
      </c>
      <c r="B532" s="7" t="str">
        <f t="shared" si="2"/>
        <v>Tablet</v>
      </c>
      <c r="C532" s="7" t="str">
        <f t="shared" si="3"/>
        <v>Electronics</v>
      </c>
      <c r="D532" s="7" t="str">
        <f t="shared" si="4"/>
        <v>West</v>
      </c>
      <c r="E532" s="8">
        <f t="shared" si="5"/>
        <v>1321</v>
      </c>
      <c r="F532" s="8">
        <f t="shared" si="6"/>
        <v>317.04</v>
      </c>
      <c r="G532" s="9">
        <f t="shared" si="7"/>
        <v>1</v>
      </c>
      <c r="H532" s="7" t="str">
        <f t="shared" si="8"/>
        <v>Nov</v>
      </c>
      <c r="I532" s="7">
        <f t="shared" si="9"/>
        <v>11</v>
      </c>
    </row>
    <row r="533">
      <c r="A533" s="6">
        <f t="shared" si="1"/>
        <v>45690</v>
      </c>
      <c r="B533" s="7" t="str">
        <f t="shared" si="2"/>
        <v>Laptop</v>
      </c>
      <c r="C533" s="7" t="str">
        <f t="shared" si="3"/>
        <v>Electronics</v>
      </c>
      <c r="D533" s="7" t="str">
        <f t="shared" si="4"/>
        <v>South</v>
      </c>
      <c r="E533" s="8">
        <f t="shared" si="5"/>
        <v>697</v>
      </c>
      <c r="F533" s="8">
        <f t="shared" si="6"/>
        <v>160.31</v>
      </c>
      <c r="G533" s="9">
        <f t="shared" si="7"/>
        <v>9</v>
      </c>
      <c r="H533" s="7" t="str">
        <f t="shared" si="8"/>
        <v>Feb</v>
      </c>
      <c r="I533" s="7">
        <f t="shared" si="9"/>
        <v>2</v>
      </c>
    </row>
    <row r="534">
      <c r="A534" s="6">
        <f t="shared" si="1"/>
        <v>45729</v>
      </c>
      <c r="B534" s="7" t="str">
        <f t="shared" si="2"/>
        <v>Table</v>
      </c>
      <c r="C534" s="7" t="str">
        <f t="shared" si="3"/>
        <v>Furniture</v>
      </c>
      <c r="D534" s="7" t="str">
        <f t="shared" si="4"/>
        <v>South</v>
      </c>
      <c r="E534" s="8">
        <f t="shared" si="5"/>
        <v>1497</v>
      </c>
      <c r="F534" s="8">
        <f t="shared" si="6"/>
        <v>269.46</v>
      </c>
      <c r="G534" s="9">
        <f t="shared" si="7"/>
        <v>10</v>
      </c>
      <c r="H534" s="7" t="str">
        <f t="shared" si="8"/>
        <v>Mar</v>
      </c>
      <c r="I534" s="7">
        <f t="shared" si="9"/>
        <v>3</v>
      </c>
    </row>
    <row r="535">
      <c r="A535" s="6">
        <f t="shared" si="1"/>
        <v>45932</v>
      </c>
      <c r="B535" s="7" t="str">
        <f t="shared" si="2"/>
        <v>Monitor</v>
      </c>
      <c r="C535" s="7" t="str">
        <f t="shared" si="3"/>
        <v>Electronics</v>
      </c>
      <c r="D535" s="7" t="str">
        <f t="shared" si="4"/>
        <v>North</v>
      </c>
      <c r="E535" s="8">
        <f t="shared" si="5"/>
        <v>1673</v>
      </c>
      <c r="F535" s="8">
        <f t="shared" si="6"/>
        <v>434.98</v>
      </c>
      <c r="G535" s="9">
        <f t="shared" si="7"/>
        <v>2</v>
      </c>
      <c r="H535" s="7" t="str">
        <f t="shared" si="8"/>
        <v>Oct</v>
      </c>
      <c r="I535" s="7">
        <f t="shared" si="9"/>
        <v>10</v>
      </c>
    </row>
    <row r="536">
      <c r="A536" s="6">
        <f t="shared" si="1"/>
        <v>45808</v>
      </c>
      <c r="B536" s="7" t="str">
        <f t="shared" si="2"/>
        <v>Table</v>
      </c>
      <c r="C536" s="7" t="str">
        <f t="shared" si="3"/>
        <v>Furniture</v>
      </c>
      <c r="D536" s="7" t="str">
        <f t="shared" si="4"/>
        <v>West</v>
      </c>
      <c r="E536" s="8">
        <f t="shared" si="5"/>
        <v>686</v>
      </c>
      <c r="F536" s="8">
        <f t="shared" si="6"/>
        <v>68.6</v>
      </c>
      <c r="G536" s="9">
        <f t="shared" si="7"/>
        <v>5</v>
      </c>
      <c r="H536" s="7" t="str">
        <f t="shared" si="8"/>
        <v>May</v>
      </c>
      <c r="I536" s="7">
        <f t="shared" si="9"/>
        <v>5</v>
      </c>
    </row>
    <row r="537">
      <c r="A537" s="6">
        <f t="shared" si="1"/>
        <v>45993</v>
      </c>
      <c r="B537" s="7" t="str">
        <f t="shared" si="2"/>
        <v>Laptop</v>
      </c>
      <c r="C537" s="7" t="str">
        <f t="shared" si="3"/>
        <v>Electronics</v>
      </c>
      <c r="D537" s="7" t="str">
        <f t="shared" si="4"/>
        <v>North</v>
      </c>
      <c r="E537" s="8">
        <f t="shared" si="5"/>
        <v>1593</v>
      </c>
      <c r="F537" s="8">
        <f t="shared" si="6"/>
        <v>238.95</v>
      </c>
      <c r="G537" s="9">
        <f t="shared" si="7"/>
        <v>4</v>
      </c>
      <c r="H537" s="7" t="str">
        <f t="shared" si="8"/>
        <v>Dec</v>
      </c>
      <c r="I537" s="7">
        <f t="shared" si="9"/>
        <v>12</v>
      </c>
    </row>
    <row r="538">
      <c r="A538" s="6">
        <f t="shared" si="1"/>
        <v>45900</v>
      </c>
      <c r="B538" s="7" t="str">
        <f t="shared" si="2"/>
        <v>Monitor</v>
      </c>
      <c r="C538" s="7" t="str">
        <f t="shared" si="3"/>
        <v>Electronics</v>
      </c>
      <c r="D538" s="7" t="str">
        <f t="shared" si="4"/>
        <v>West</v>
      </c>
      <c r="E538" s="8">
        <f t="shared" si="5"/>
        <v>469</v>
      </c>
      <c r="F538" s="8">
        <f t="shared" si="6"/>
        <v>103.18</v>
      </c>
      <c r="G538" s="9">
        <f t="shared" si="7"/>
        <v>3</v>
      </c>
      <c r="H538" s="7" t="str">
        <f t="shared" si="8"/>
        <v>Aug</v>
      </c>
      <c r="I538" s="7">
        <f t="shared" si="9"/>
        <v>8</v>
      </c>
    </row>
    <row r="539">
      <c r="A539" s="6">
        <f t="shared" si="1"/>
        <v>45773</v>
      </c>
      <c r="B539" s="7" t="str">
        <f t="shared" si="2"/>
        <v>Phone</v>
      </c>
      <c r="C539" s="7" t="str">
        <f t="shared" si="3"/>
        <v>Electronics</v>
      </c>
      <c r="D539" s="7" t="str">
        <f t="shared" si="4"/>
        <v>West</v>
      </c>
      <c r="E539" s="8">
        <f t="shared" si="5"/>
        <v>1539</v>
      </c>
      <c r="F539" s="8">
        <f t="shared" si="6"/>
        <v>446.31</v>
      </c>
      <c r="G539" s="9">
        <f t="shared" si="7"/>
        <v>2</v>
      </c>
      <c r="H539" s="7" t="str">
        <f t="shared" si="8"/>
        <v>Apr</v>
      </c>
      <c r="I539" s="7">
        <f t="shared" si="9"/>
        <v>4</v>
      </c>
    </row>
    <row r="540">
      <c r="A540" s="6">
        <f t="shared" si="1"/>
        <v>45835</v>
      </c>
      <c r="B540" s="7" t="str">
        <f t="shared" si="2"/>
        <v>Chair</v>
      </c>
      <c r="C540" s="7" t="str">
        <f t="shared" si="3"/>
        <v>Furniture</v>
      </c>
      <c r="D540" s="7" t="str">
        <f t="shared" si="4"/>
        <v>West</v>
      </c>
      <c r="E540" s="8">
        <f t="shared" si="5"/>
        <v>362</v>
      </c>
      <c r="F540" s="8">
        <f t="shared" si="6"/>
        <v>61.54</v>
      </c>
      <c r="G540" s="9">
        <f t="shared" si="7"/>
        <v>7</v>
      </c>
      <c r="H540" s="7" t="str">
        <f t="shared" si="8"/>
        <v>Jun</v>
      </c>
      <c r="I540" s="7">
        <f t="shared" si="9"/>
        <v>6</v>
      </c>
    </row>
    <row r="541">
      <c r="A541" s="6">
        <f t="shared" si="1"/>
        <v>45679</v>
      </c>
      <c r="B541" s="7" t="str">
        <f t="shared" si="2"/>
        <v>Laptop</v>
      </c>
      <c r="C541" s="7" t="str">
        <f t="shared" si="3"/>
        <v>Electronics</v>
      </c>
      <c r="D541" s="7" t="str">
        <f t="shared" si="4"/>
        <v>West</v>
      </c>
      <c r="E541" s="8">
        <f t="shared" si="5"/>
        <v>293</v>
      </c>
      <c r="F541" s="8">
        <f t="shared" si="6"/>
        <v>61.53</v>
      </c>
      <c r="G541" s="9">
        <f t="shared" si="7"/>
        <v>3</v>
      </c>
      <c r="H541" s="7" t="str">
        <f t="shared" si="8"/>
        <v>Jan</v>
      </c>
      <c r="I541" s="7">
        <f t="shared" si="9"/>
        <v>1</v>
      </c>
    </row>
    <row r="542">
      <c r="A542" s="6">
        <f t="shared" si="1"/>
        <v>45890</v>
      </c>
      <c r="B542" s="7" t="str">
        <f t="shared" si="2"/>
        <v>Monitor</v>
      </c>
      <c r="C542" s="7" t="str">
        <f t="shared" si="3"/>
        <v>Electronics</v>
      </c>
      <c r="D542" s="7" t="str">
        <f t="shared" si="4"/>
        <v>East</v>
      </c>
      <c r="E542" s="8">
        <f t="shared" si="5"/>
        <v>1313</v>
      </c>
      <c r="F542" s="8">
        <f t="shared" si="6"/>
        <v>236.34</v>
      </c>
      <c r="G542" s="9">
        <f t="shared" si="7"/>
        <v>9</v>
      </c>
      <c r="H542" s="7" t="str">
        <f t="shared" si="8"/>
        <v>Aug</v>
      </c>
      <c r="I542" s="7">
        <f t="shared" si="9"/>
        <v>8</v>
      </c>
    </row>
    <row r="543">
      <c r="A543" s="6">
        <f t="shared" si="1"/>
        <v>45816</v>
      </c>
      <c r="B543" s="7" t="str">
        <f t="shared" si="2"/>
        <v>Laptop</v>
      </c>
      <c r="C543" s="7" t="str">
        <f t="shared" si="3"/>
        <v>Electronics</v>
      </c>
      <c r="D543" s="7" t="str">
        <f t="shared" si="4"/>
        <v>North</v>
      </c>
      <c r="E543" s="8">
        <f t="shared" si="5"/>
        <v>1730</v>
      </c>
      <c r="F543" s="8">
        <f t="shared" si="6"/>
        <v>501.7</v>
      </c>
      <c r="G543" s="9">
        <f t="shared" si="7"/>
        <v>3</v>
      </c>
      <c r="H543" s="7" t="str">
        <f t="shared" si="8"/>
        <v>Jun</v>
      </c>
      <c r="I543" s="7">
        <f t="shared" si="9"/>
        <v>6</v>
      </c>
    </row>
    <row r="544">
      <c r="A544" s="6">
        <f t="shared" si="1"/>
        <v>45819</v>
      </c>
      <c r="B544" s="7" t="str">
        <f t="shared" si="2"/>
        <v>Monitor</v>
      </c>
      <c r="C544" s="7" t="str">
        <f t="shared" si="3"/>
        <v>Electronics</v>
      </c>
      <c r="D544" s="7" t="str">
        <f t="shared" si="4"/>
        <v>West</v>
      </c>
      <c r="E544" s="8">
        <f t="shared" si="5"/>
        <v>252</v>
      </c>
      <c r="F544" s="8">
        <f t="shared" si="6"/>
        <v>37.8</v>
      </c>
      <c r="G544" s="9">
        <f t="shared" si="7"/>
        <v>1</v>
      </c>
      <c r="H544" s="7" t="str">
        <f t="shared" si="8"/>
        <v>Jun</v>
      </c>
      <c r="I544" s="7">
        <f t="shared" si="9"/>
        <v>6</v>
      </c>
    </row>
    <row r="545">
      <c r="A545" s="6">
        <f t="shared" si="1"/>
        <v>45788</v>
      </c>
      <c r="B545" s="7" t="str">
        <f t="shared" si="2"/>
        <v>Phone</v>
      </c>
      <c r="C545" s="7" t="str">
        <f t="shared" si="3"/>
        <v>Electronics</v>
      </c>
      <c r="D545" s="7" t="str">
        <f t="shared" si="4"/>
        <v>East</v>
      </c>
      <c r="E545" s="8">
        <f t="shared" si="5"/>
        <v>1142</v>
      </c>
      <c r="F545" s="8">
        <f t="shared" si="6"/>
        <v>296.92</v>
      </c>
      <c r="G545" s="9">
        <f t="shared" si="7"/>
        <v>10</v>
      </c>
      <c r="H545" s="7" t="str">
        <f t="shared" si="8"/>
        <v>May</v>
      </c>
      <c r="I545" s="7">
        <f t="shared" si="9"/>
        <v>5</v>
      </c>
    </row>
    <row r="546">
      <c r="A546" s="6">
        <f t="shared" si="1"/>
        <v>45668</v>
      </c>
      <c r="B546" s="7" t="str">
        <f t="shared" si="2"/>
        <v>Phone</v>
      </c>
      <c r="C546" s="7" t="str">
        <f t="shared" si="3"/>
        <v>Electronics</v>
      </c>
      <c r="D546" s="7" t="str">
        <f t="shared" si="4"/>
        <v>East</v>
      </c>
      <c r="E546" s="8">
        <f t="shared" si="5"/>
        <v>356</v>
      </c>
      <c r="F546" s="8">
        <f t="shared" si="6"/>
        <v>74.76</v>
      </c>
      <c r="G546" s="9">
        <f t="shared" si="7"/>
        <v>8</v>
      </c>
      <c r="H546" s="7" t="str">
        <f t="shared" si="8"/>
        <v>Jan</v>
      </c>
      <c r="I546" s="7">
        <f t="shared" si="9"/>
        <v>1</v>
      </c>
    </row>
    <row r="547">
      <c r="A547" s="6">
        <f t="shared" si="1"/>
        <v>45882</v>
      </c>
      <c r="B547" s="7" t="str">
        <f t="shared" si="2"/>
        <v>Phone</v>
      </c>
      <c r="C547" s="7" t="str">
        <f t="shared" si="3"/>
        <v>Electronics</v>
      </c>
      <c r="D547" s="7" t="str">
        <f t="shared" si="4"/>
        <v>East</v>
      </c>
      <c r="E547" s="8">
        <f t="shared" si="5"/>
        <v>1297</v>
      </c>
      <c r="F547" s="8">
        <f t="shared" si="6"/>
        <v>337.22</v>
      </c>
      <c r="G547" s="9">
        <f t="shared" si="7"/>
        <v>3</v>
      </c>
      <c r="H547" s="7" t="str">
        <f t="shared" si="8"/>
        <v>Aug</v>
      </c>
      <c r="I547" s="7">
        <f t="shared" si="9"/>
        <v>8</v>
      </c>
    </row>
    <row r="548">
      <c r="A548" s="6">
        <f t="shared" si="1"/>
        <v>46008</v>
      </c>
      <c r="B548" s="7" t="str">
        <f t="shared" si="2"/>
        <v>Chair</v>
      </c>
      <c r="C548" s="7" t="str">
        <f t="shared" si="3"/>
        <v>Furniture</v>
      </c>
      <c r="D548" s="7" t="str">
        <f t="shared" si="4"/>
        <v>West</v>
      </c>
      <c r="E548" s="8">
        <f t="shared" si="5"/>
        <v>1900</v>
      </c>
      <c r="F548" s="8">
        <f t="shared" si="6"/>
        <v>342</v>
      </c>
      <c r="G548" s="9">
        <f t="shared" si="7"/>
        <v>3</v>
      </c>
      <c r="H548" s="7" t="str">
        <f t="shared" si="8"/>
        <v>Dec</v>
      </c>
      <c r="I548" s="7">
        <f t="shared" si="9"/>
        <v>12</v>
      </c>
    </row>
    <row r="549">
      <c r="A549" s="6">
        <f t="shared" si="1"/>
        <v>45746</v>
      </c>
      <c r="B549" s="7" t="str">
        <f t="shared" si="2"/>
        <v>Phone</v>
      </c>
      <c r="C549" s="7" t="str">
        <f t="shared" si="3"/>
        <v>Electronics</v>
      </c>
      <c r="D549" s="7" t="str">
        <f t="shared" si="4"/>
        <v>North</v>
      </c>
      <c r="E549" s="8">
        <f t="shared" si="5"/>
        <v>1668</v>
      </c>
      <c r="F549" s="8">
        <f t="shared" si="6"/>
        <v>500.4</v>
      </c>
      <c r="G549" s="9">
        <f t="shared" si="7"/>
        <v>6</v>
      </c>
      <c r="H549" s="7" t="str">
        <f t="shared" si="8"/>
        <v>Mar</v>
      </c>
      <c r="I549" s="7">
        <f t="shared" si="9"/>
        <v>3</v>
      </c>
    </row>
    <row r="550">
      <c r="A550" s="6">
        <f t="shared" si="1"/>
        <v>45756</v>
      </c>
      <c r="B550" s="7" t="str">
        <f t="shared" si="2"/>
        <v>Table</v>
      </c>
      <c r="C550" s="7" t="str">
        <f t="shared" si="3"/>
        <v>Furniture</v>
      </c>
      <c r="D550" s="7" t="str">
        <f t="shared" si="4"/>
        <v>North</v>
      </c>
      <c r="E550" s="8">
        <f t="shared" si="5"/>
        <v>1709</v>
      </c>
      <c r="F550" s="8">
        <f t="shared" si="6"/>
        <v>478.52</v>
      </c>
      <c r="G550" s="9">
        <f t="shared" si="7"/>
        <v>5</v>
      </c>
      <c r="H550" s="7" t="str">
        <f t="shared" si="8"/>
        <v>Apr</v>
      </c>
      <c r="I550" s="7">
        <f t="shared" si="9"/>
        <v>4</v>
      </c>
    </row>
    <row r="551">
      <c r="A551" s="6">
        <f t="shared" si="1"/>
        <v>45807</v>
      </c>
      <c r="B551" s="7" t="str">
        <f t="shared" si="2"/>
        <v>Tablet</v>
      </c>
      <c r="C551" s="7" t="str">
        <f t="shared" si="3"/>
        <v>Electronics</v>
      </c>
      <c r="D551" s="7" t="str">
        <f t="shared" si="4"/>
        <v>West</v>
      </c>
      <c r="E551" s="8">
        <f t="shared" si="5"/>
        <v>341</v>
      </c>
      <c r="F551" s="8">
        <f t="shared" si="6"/>
        <v>85.25</v>
      </c>
      <c r="G551" s="9">
        <f t="shared" si="7"/>
        <v>6</v>
      </c>
      <c r="H551" s="7" t="str">
        <f t="shared" si="8"/>
        <v>May</v>
      </c>
      <c r="I551" s="7">
        <f t="shared" si="9"/>
        <v>5</v>
      </c>
    </row>
    <row r="552">
      <c r="A552" s="6">
        <f t="shared" si="1"/>
        <v>45829</v>
      </c>
      <c r="B552" s="7" t="str">
        <f t="shared" si="2"/>
        <v>Monitor</v>
      </c>
      <c r="C552" s="7" t="str">
        <f t="shared" si="3"/>
        <v>Electronics</v>
      </c>
      <c r="D552" s="7" t="str">
        <f t="shared" si="4"/>
        <v>West</v>
      </c>
      <c r="E552" s="8">
        <f t="shared" si="5"/>
        <v>1047</v>
      </c>
      <c r="F552" s="8">
        <f t="shared" si="6"/>
        <v>115.17</v>
      </c>
      <c r="G552" s="9">
        <f t="shared" si="7"/>
        <v>6</v>
      </c>
      <c r="H552" s="7" t="str">
        <f t="shared" si="8"/>
        <v>Jun</v>
      </c>
      <c r="I552" s="7">
        <f t="shared" si="9"/>
        <v>6</v>
      </c>
    </row>
    <row r="553">
      <c r="A553" s="6">
        <f t="shared" si="1"/>
        <v>45906</v>
      </c>
      <c r="B553" s="7" t="str">
        <f t="shared" si="2"/>
        <v>Table</v>
      </c>
      <c r="C553" s="7" t="str">
        <f t="shared" si="3"/>
        <v>Furniture</v>
      </c>
      <c r="D553" s="7" t="str">
        <f t="shared" si="4"/>
        <v>North</v>
      </c>
      <c r="E553" s="8">
        <f t="shared" si="5"/>
        <v>1965</v>
      </c>
      <c r="F553" s="8">
        <f t="shared" si="6"/>
        <v>196.5</v>
      </c>
      <c r="G553" s="9">
        <f t="shared" si="7"/>
        <v>4</v>
      </c>
      <c r="H553" s="7" t="str">
        <f t="shared" si="8"/>
        <v>Sep</v>
      </c>
      <c r="I553" s="7">
        <f t="shared" si="9"/>
        <v>9</v>
      </c>
    </row>
    <row r="554">
      <c r="A554" s="6">
        <f t="shared" si="1"/>
        <v>45897</v>
      </c>
      <c r="B554" s="7" t="str">
        <f t="shared" si="2"/>
        <v>Monitor</v>
      </c>
      <c r="C554" s="7" t="str">
        <f t="shared" si="3"/>
        <v>Electronics</v>
      </c>
      <c r="D554" s="7" t="str">
        <f t="shared" si="4"/>
        <v>East</v>
      </c>
      <c r="E554" s="8">
        <f t="shared" si="5"/>
        <v>824</v>
      </c>
      <c r="F554" s="8">
        <f t="shared" si="6"/>
        <v>214.24</v>
      </c>
      <c r="G554" s="9">
        <f t="shared" si="7"/>
        <v>8</v>
      </c>
      <c r="H554" s="7" t="str">
        <f t="shared" si="8"/>
        <v>Aug</v>
      </c>
      <c r="I554" s="7">
        <f t="shared" si="9"/>
        <v>8</v>
      </c>
    </row>
    <row r="555">
      <c r="A555" s="6">
        <f t="shared" si="1"/>
        <v>45922</v>
      </c>
      <c r="B555" s="7" t="str">
        <f t="shared" si="2"/>
        <v>Monitor</v>
      </c>
      <c r="C555" s="7" t="str">
        <f t="shared" si="3"/>
        <v>Electronics</v>
      </c>
      <c r="D555" s="7" t="str">
        <f t="shared" si="4"/>
        <v>West</v>
      </c>
      <c r="E555" s="8">
        <f t="shared" si="5"/>
        <v>1054</v>
      </c>
      <c r="F555" s="8">
        <f t="shared" si="6"/>
        <v>200.26</v>
      </c>
      <c r="G555" s="9">
        <f t="shared" si="7"/>
        <v>6</v>
      </c>
      <c r="H555" s="7" t="str">
        <f t="shared" si="8"/>
        <v>Sep</v>
      </c>
      <c r="I555" s="7">
        <f t="shared" si="9"/>
        <v>9</v>
      </c>
    </row>
    <row r="556">
      <c r="A556" s="6">
        <f t="shared" si="1"/>
        <v>45860</v>
      </c>
      <c r="B556" s="7" t="str">
        <f t="shared" si="2"/>
        <v>Tablet</v>
      </c>
      <c r="C556" s="7" t="str">
        <f t="shared" si="3"/>
        <v>Electronics</v>
      </c>
      <c r="D556" s="7" t="str">
        <f t="shared" si="4"/>
        <v>West</v>
      </c>
      <c r="E556" s="8">
        <f t="shared" si="5"/>
        <v>226</v>
      </c>
      <c r="F556" s="8">
        <f t="shared" si="6"/>
        <v>47.46</v>
      </c>
      <c r="G556" s="9">
        <f t="shared" si="7"/>
        <v>9</v>
      </c>
      <c r="H556" s="7" t="str">
        <f t="shared" si="8"/>
        <v>Jul</v>
      </c>
      <c r="I556" s="7">
        <f t="shared" si="9"/>
        <v>7</v>
      </c>
    </row>
    <row r="557">
      <c r="A557" s="6">
        <f t="shared" si="1"/>
        <v>45867</v>
      </c>
      <c r="B557" s="7" t="str">
        <f t="shared" si="2"/>
        <v>Laptop</v>
      </c>
      <c r="C557" s="7" t="str">
        <f t="shared" si="3"/>
        <v>Electronics</v>
      </c>
      <c r="D557" s="7" t="str">
        <f t="shared" si="4"/>
        <v>North</v>
      </c>
      <c r="E557" s="8">
        <f t="shared" si="5"/>
        <v>960</v>
      </c>
      <c r="F557" s="8">
        <f t="shared" si="6"/>
        <v>96</v>
      </c>
      <c r="G557" s="9">
        <f t="shared" si="7"/>
        <v>3</v>
      </c>
      <c r="H557" s="7" t="str">
        <f t="shared" si="8"/>
        <v>Jul</v>
      </c>
      <c r="I557" s="7">
        <f t="shared" si="9"/>
        <v>7</v>
      </c>
    </row>
    <row r="558">
      <c r="A558" s="6">
        <f t="shared" si="1"/>
        <v>45677</v>
      </c>
      <c r="B558" s="7" t="str">
        <f t="shared" si="2"/>
        <v>Table</v>
      </c>
      <c r="C558" s="7" t="str">
        <f t="shared" si="3"/>
        <v>Furniture</v>
      </c>
      <c r="D558" s="7" t="str">
        <f t="shared" si="4"/>
        <v>North</v>
      </c>
      <c r="E558" s="8">
        <f t="shared" si="5"/>
        <v>1342</v>
      </c>
      <c r="F558" s="8">
        <f t="shared" si="6"/>
        <v>308.66</v>
      </c>
      <c r="G558" s="9">
        <f t="shared" si="7"/>
        <v>1</v>
      </c>
      <c r="H558" s="7" t="str">
        <f t="shared" si="8"/>
        <v>Jan</v>
      </c>
      <c r="I558" s="7">
        <f t="shared" si="9"/>
        <v>1</v>
      </c>
    </row>
    <row r="559">
      <c r="A559" s="6">
        <f t="shared" si="1"/>
        <v>45859</v>
      </c>
      <c r="B559" s="7" t="str">
        <f t="shared" si="2"/>
        <v>Table</v>
      </c>
      <c r="C559" s="7" t="str">
        <f t="shared" si="3"/>
        <v>Furniture</v>
      </c>
      <c r="D559" s="7" t="str">
        <f t="shared" si="4"/>
        <v>North</v>
      </c>
      <c r="E559" s="8">
        <f t="shared" si="5"/>
        <v>375</v>
      </c>
      <c r="F559" s="8">
        <f t="shared" si="6"/>
        <v>75</v>
      </c>
      <c r="G559" s="9">
        <f t="shared" si="7"/>
        <v>1</v>
      </c>
      <c r="H559" s="7" t="str">
        <f t="shared" si="8"/>
        <v>Jul</v>
      </c>
      <c r="I559" s="7">
        <f t="shared" si="9"/>
        <v>7</v>
      </c>
    </row>
    <row r="560">
      <c r="A560" s="6">
        <f t="shared" si="1"/>
        <v>45738</v>
      </c>
      <c r="B560" s="7" t="str">
        <f t="shared" si="2"/>
        <v>Chair</v>
      </c>
      <c r="C560" s="7" t="str">
        <f t="shared" si="3"/>
        <v>Furniture</v>
      </c>
      <c r="D560" s="7" t="str">
        <f t="shared" si="4"/>
        <v>North</v>
      </c>
      <c r="E560" s="8">
        <f t="shared" si="5"/>
        <v>510</v>
      </c>
      <c r="F560" s="8">
        <f t="shared" si="6"/>
        <v>132.6</v>
      </c>
      <c r="G560" s="9">
        <f t="shared" si="7"/>
        <v>6</v>
      </c>
      <c r="H560" s="7" t="str">
        <f t="shared" si="8"/>
        <v>Mar</v>
      </c>
      <c r="I560" s="7">
        <f t="shared" si="9"/>
        <v>3</v>
      </c>
    </row>
    <row r="561">
      <c r="A561" s="6">
        <f t="shared" si="1"/>
        <v>45950</v>
      </c>
      <c r="B561" s="7" t="str">
        <f t="shared" si="2"/>
        <v>Phone</v>
      </c>
      <c r="C561" s="7" t="str">
        <f t="shared" si="3"/>
        <v>Electronics</v>
      </c>
      <c r="D561" s="7" t="str">
        <f t="shared" si="4"/>
        <v>South</v>
      </c>
      <c r="E561" s="8">
        <f t="shared" si="5"/>
        <v>1623</v>
      </c>
      <c r="F561" s="8">
        <f t="shared" si="6"/>
        <v>210.99</v>
      </c>
      <c r="G561" s="9">
        <f t="shared" si="7"/>
        <v>4</v>
      </c>
      <c r="H561" s="7" t="str">
        <f t="shared" si="8"/>
        <v>Oct</v>
      </c>
      <c r="I561" s="7">
        <f t="shared" si="9"/>
        <v>10</v>
      </c>
    </row>
    <row r="562">
      <c r="A562" s="6">
        <f t="shared" si="1"/>
        <v>45927</v>
      </c>
      <c r="B562" s="7" t="str">
        <f t="shared" si="2"/>
        <v>Phone</v>
      </c>
      <c r="C562" s="7" t="str">
        <f t="shared" si="3"/>
        <v>Electronics</v>
      </c>
      <c r="D562" s="7" t="str">
        <f t="shared" si="4"/>
        <v>South</v>
      </c>
      <c r="E562" s="8">
        <f t="shared" si="5"/>
        <v>277</v>
      </c>
      <c r="F562" s="8">
        <f t="shared" si="6"/>
        <v>36.01</v>
      </c>
      <c r="G562" s="9">
        <f t="shared" si="7"/>
        <v>10</v>
      </c>
      <c r="H562" s="7" t="str">
        <f t="shared" si="8"/>
        <v>Sep</v>
      </c>
      <c r="I562" s="7">
        <f t="shared" si="9"/>
        <v>9</v>
      </c>
    </row>
    <row r="563">
      <c r="A563" s="6">
        <f t="shared" si="1"/>
        <v>45700</v>
      </c>
      <c r="B563" s="7" t="str">
        <f t="shared" si="2"/>
        <v>Chair</v>
      </c>
      <c r="C563" s="7" t="str">
        <f t="shared" si="3"/>
        <v>Furniture</v>
      </c>
      <c r="D563" s="7" t="str">
        <f t="shared" si="4"/>
        <v>East</v>
      </c>
      <c r="E563" s="8">
        <f t="shared" si="5"/>
        <v>541</v>
      </c>
      <c r="F563" s="8">
        <f t="shared" si="6"/>
        <v>113.61</v>
      </c>
      <c r="G563" s="9">
        <f t="shared" si="7"/>
        <v>8</v>
      </c>
      <c r="H563" s="7" t="str">
        <f t="shared" si="8"/>
        <v>Feb</v>
      </c>
      <c r="I563" s="7">
        <f t="shared" si="9"/>
        <v>2</v>
      </c>
    </row>
    <row r="564">
      <c r="A564" s="6">
        <f t="shared" si="1"/>
        <v>45968</v>
      </c>
      <c r="B564" s="7" t="str">
        <f t="shared" si="2"/>
        <v>Phone</v>
      </c>
      <c r="C564" s="7" t="str">
        <f t="shared" si="3"/>
        <v>Electronics</v>
      </c>
      <c r="D564" s="7" t="str">
        <f t="shared" si="4"/>
        <v>East</v>
      </c>
      <c r="E564" s="8">
        <f t="shared" si="5"/>
        <v>401</v>
      </c>
      <c r="F564" s="8">
        <f t="shared" si="6"/>
        <v>84.21</v>
      </c>
      <c r="G564" s="9">
        <f t="shared" si="7"/>
        <v>2</v>
      </c>
      <c r="H564" s="7" t="str">
        <f t="shared" si="8"/>
        <v>Nov</v>
      </c>
      <c r="I564" s="7">
        <f t="shared" si="9"/>
        <v>11</v>
      </c>
    </row>
    <row r="565">
      <c r="A565" s="6">
        <f t="shared" si="1"/>
        <v>45952</v>
      </c>
      <c r="B565" s="7" t="str">
        <f t="shared" si="2"/>
        <v>Table</v>
      </c>
      <c r="C565" s="7" t="str">
        <f t="shared" si="3"/>
        <v>Furniture</v>
      </c>
      <c r="D565" s="7" t="str">
        <f t="shared" si="4"/>
        <v>East</v>
      </c>
      <c r="E565" s="8">
        <f t="shared" si="5"/>
        <v>255</v>
      </c>
      <c r="F565" s="8">
        <f t="shared" si="6"/>
        <v>71.4</v>
      </c>
      <c r="G565" s="9">
        <f t="shared" si="7"/>
        <v>1</v>
      </c>
      <c r="H565" s="7" t="str">
        <f t="shared" si="8"/>
        <v>Oct</v>
      </c>
      <c r="I565" s="7">
        <f t="shared" si="9"/>
        <v>10</v>
      </c>
    </row>
    <row r="566">
      <c r="A566" s="6">
        <f t="shared" si="1"/>
        <v>45727</v>
      </c>
      <c r="B566" s="7" t="str">
        <f t="shared" si="2"/>
        <v>Laptop</v>
      </c>
      <c r="C566" s="7" t="str">
        <f t="shared" si="3"/>
        <v>Electronics</v>
      </c>
      <c r="D566" s="7" t="str">
        <f t="shared" si="4"/>
        <v>West</v>
      </c>
      <c r="E566" s="8">
        <f t="shared" si="5"/>
        <v>1292</v>
      </c>
      <c r="F566" s="8">
        <f t="shared" si="6"/>
        <v>180.88</v>
      </c>
      <c r="G566" s="9">
        <f t="shared" si="7"/>
        <v>3</v>
      </c>
      <c r="H566" s="7" t="str">
        <f t="shared" si="8"/>
        <v>Mar</v>
      </c>
      <c r="I566" s="7">
        <f t="shared" si="9"/>
        <v>3</v>
      </c>
    </row>
    <row r="567">
      <c r="A567" s="6">
        <f t="shared" si="1"/>
        <v>45891</v>
      </c>
      <c r="B567" s="7" t="str">
        <f t="shared" si="2"/>
        <v>Monitor</v>
      </c>
      <c r="C567" s="7" t="str">
        <f t="shared" si="3"/>
        <v>Electronics</v>
      </c>
      <c r="D567" s="7" t="str">
        <f t="shared" si="4"/>
        <v>North</v>
      </c>
      <c r="E567" s="8">
        <f t="shared" si="5"/>
        <v>1813</v>
      </c>
      <c r="F567" s="8">
        <f t="shared" si="6"/>
        <v>398.86</v>
      </c>
      <c r="G567" s="9">
        <f t="shared" si="7"/>
        <v>9</v>
      </c>
      <c r="H567" s="7" t="str">
        <f t="shared" si="8"/>
        <v>Aug</v>
      </c>
      <c r="I567" s="7">
        <f t="shared" si="9"/>
        <v>8</v>
      </c>
    </row>
    <row r="568">
      <c r="A568" s="6">
        <f t="shared" si="1"/>
        <v>45953</v>
      </c>
      <c r="B568" s="7" t="str">
        <f t="shared" si="2"/>
        <v>Chair</v>
      </c>
      <c r="C568" s="7" t="str">
        <f t="shared" si="3"/>
        <v>Furniture</v>
      </c>
      <c r="D568" s="7" t="str">
        <f t="shared" si="4"/>
        <v>West</v>
      </c>
      <c r="E568" s="8">
        <f t="shared" si="5"/>
        <v>1843</v>
      </c>
      <c r="F568" s="8">
        <f t="shared" si="6"/>
        <v>258.02</v>
      </c>
      <c r="G568" s="9">
        <f t="shared" si="7"/>
        <v>1</v>
      </c>
      <c r="H568" s="7" t="str">
        <f t="shared" si="8"/>
        <v>Oct</v>
      </c>
      <c r="I568" s="7">
        <f t="shared" si="9"/>
        <v>10</v>
      </c>
    </row>
    <row r="569">
      <c r="A569" s="6">
        <f t="shared" si="1"/>
        <v>45976</v>
      </c>
      <c r="B569" s="7" t="str">
        <f t="shared" si="2"/>
        <v>Chair</v>
      </c>
      <c r="C569" s="7" t="str">
        <f t="shared" si="3"/>
        <v>Furniture</v>
      </c>
      <c r="D569" s="7" t="str">
        <f t="shared" si="4"/>
        <v>West</v>
      </c>
      <c r="E569" s="8">
        <f t="shared" si="5"/>
        <v>639</v>
      </c>
      <c r="F569" s="8">
        <f t="shared" si="6"/>
        <v>108.63</v>
      </c>
      <c r="G569" s="9">
        <f t="shared" si="7"/>
        <v>2</v>
      </c>
      <c r="H569" s="7" t="str">
        <f t="shared" si="8"/>
        <v>Nov</v>
      </c>
      <c r="I569" s="7">
        <f t="shared" si="9"/>
        <v>11</v>
      </c>
    </row>
    <row r="570">
      <c r="A570" s="6">
        <f t="shared" si="1"/>
        <v>45825</v>
      </c>
      <c r="B570" s="7" t="str">
        <f t="shared" si="2"/>
        <v>Table</v>
      </c>
      <c r="C570" s="7" t="str">
        <f t="shared" si="3"/>
        <v>Furniture</v>
      </c>
      <c r="D570" s="7" t="str">
        <f t="shared" si="4"/>
        <v>North</v>
      </c>
      <c r="E570" s="8">
        <f t="shared" si="5"/>
        <v>516</v>
      </c>
      <c r="F570" s="8">
        <f t="shared" si="6"/>
        <v>56.76</v>
      </c>
      <c r="G570" s="9">
        <f t="shared" si="7"/>
        <v>7</v>
      </c>
      <c r="H570" s="7" t="str">
        <f t="shared" si="8"/>
        <v>Jun</v>
      </c>
      <c r="I570" s="7">
        <f t="shared" si="9"/>
        <v>6</v>
      </c>
    </row>
    <row r="571">
      <c r="A571" s="6">
        <f t="shared" si="1"/>
        <v>45778</v>
      </c>
      <c r="B571" s="7" t="str">
        <f t="shared" si="2"/>
        <v>Laptop</v>
      </c>
      <c r="C571" s="7" t="str">
        <f t="shared" si="3"/>
        <v>Electronics</v>
      </c>
      <c r="D571" s="7" t="str">
        <f t="shared" si="4"/>
        <v>South</v>
      </c>
      <c r="E571" s="8">
        <f t="shared" si="5"/>
        <v>362</v>
      </c>
      <c r="F571" s="8">
        <f t="shared" si="6"/>
        <v>43.44</v>
      </c>
      <c r="G571" s="9">
        <f t="shared" si="7"/>
        <v>4</v>
      </c>
      <c r="H571" s="7" t="str">
        <f t="shared" si="8"/>
        <v>May</v>
      </c>
      <c r="I571" s="7">
        <f t="shared" si="9"/>
        <v>5</v>
      </c>
    </row>
    <row r="572">
      <c r="A572" s="6">
        <f t="shared" si="1"/>
        <v>45789</v>
      </c>
      <c r="B572" s="7" t="str">
        <f t="shared" si="2"/>
        <v>Chair</v>
      </c>
      <c r="C572" s="7" t="str">
        <f t="shared" si="3"/>
        <v>Furniture</v>
      </c>
      <c r="D572" s="7" t="str">
        <f t="shared" si="4"/>
        <v>West</v>
      </c>
      <c r="E572" s="8">
        <f t="shared" si="5"/>
        <v>1356</v>
      </c>
      <c r="F572" s="8">
        <f t="shared" si="6"/>
        <v>284.76</v>
      </c>
      <c r="G572" s="9">
        <f t="shared" si="7"/>
        <v>8</v>
      </c>
      <c r="H572" s="7" t="str">
        <f t="shared" si="8"/>
        <v>May</v>
      </c>
      <c r="I572" s="7">
        <f t="shared" si="9"/>
        <v>5</v>
      </c>
    </row>
    <row r="573">
      <c r="A573" s="6">
        <f t="shared" si="1"/>
        <v>45977</v>
      </c>
      <c r="B573" s="7" t="str">
        <f t="shared" si="2"/>
        <v>Chair</v>
      </c>
      <c r="C573" s="7" t="str">
        <f t="shared" si="3"/>
        <v>Furniture</v>
      </c>
      <c r="D573" s="7" t="str">
        <f t="shared" si="4"/>
        <v>West</v>
      </c>
      <c r="E573" s="8">
        <f t="shared" si="5"/>
        <v>1977</v>
      </c>
      <c r="F573" s="8">
        <f t="shared" si="6"/>
        <v>257.01</v>
      </c>
      <c r="G573" s="9">
        <f t="shared" si="7"/>
        <v>3</v>
      </c>
      <c r="H573" s="7" t="str">
        <f t="shared" si="8"/>
        <v>Nov</v>
      </c>
      <c r="I573" s="7">
        <f t="shared" si="9"/>
        <v>11</v>
      </c>
    </row>
    <row r="574">
      <c r="A574" s="6">
        <f t="shared" si="1"/>
        <v>45700</v>
      </c>
      <c r="B574" s="7" t="str">
        <f t="shared" si="2"/>
        <v>Phone</v>
      </c>
      <c r="C574" s="7" t="str">
        <f t="shared" si="3"/>
        <v>Electronics</v>
      </c>
      <c r="D574" s="7" t="str">
        <f t="shared" si="4"/>
        <v>East</v>
      </c>
      <c r="E574" s="8">
        <f t="shared" si="5"/>
        <v>661</v>
      </c>
      <c r="F574" s="8">
        <f t="shared" si="6"/>
        <v>145.42</v>
      </c>
      <c r="G574" s="9">
        <f t="shared" si="7"/>
        <v>6</v>
      </c>
      <c r="H574" s="7" t="str">
        <f t="shared" si="8"/>
        <v>Feb</v>
      </c>
      <c r="I574" s="7">
        <f t="shared" si="9"/>
        <v>2</v>
      </c>
    </row>
    <row r="575">
      <c r="A575" s="6">
        <f t="shared" si="1"/>
        <v>45883</v>
      </c>
      <c r="B575" s="7" t="str">
        <f t="shared" si="2"/>
        <v>Phone</v>
      </c>
      <c r="C575" s="7" t="str">
        <f t="shared" si="3"/>
        <v>Electronics</v>
      </c>
      <c r="D575" s="7" t="str">
        <f t="shared" si="4"/>
        <v>West</v>
      </c>
      <c r="E575" s="8">
        <f t="shared" si="5"/>
        <v>1045</v>
      </c>
      <c r="F575" s="8">
        <f t="shared" si="6"/>
        <v>219.45</v>
      </c>
      <c r="G575" s="9">
        <f t="shared" si="7"/>
        <v>1</v>
      </c>
      <c r="H575" s="7" t="str">
        <f t="shared" si="8"/>
        <v>Aug</v>
      </c>
      <c r="I575" s="7">
        <f t="shared" si="9"/>
        <v>8</v>
      </c>
    </row>
    <row r="576">
      <c r="A576" s="6">
        <f t="shared" si="1"/>
        <v>45692</v>
      </c>
      <c r="B576" s="7" t="str">
        <f t="shared" si="2"/>
        <v>Monitor</v>
      </c>
      <c r="C576" s="7" t="str">
        <f t="shared" si="3"/>
        <v>Electronics</v>
      </c>
      <c r="D576" s="7" t="str">
        <f t="shared" si="4"/>
        <v>South</v>
      </c>
      <c r="E576" s="8">
        <f t="shared" si="5"/>
        <v>1984</v>
      </c>
      <c r="F576" s="8">
        <f t="shared" si="6"/>
        <v>456.32</v>
      </c>
      <c r="G576" s="9">
        <f t="shared" si="7"/>
        <v>7</v>
      </c>
      <c r="H576" s="7" t="str">
        <f t="shared" si="8"/>
        <v>Feb</v>
      </c>
      <c r="I576" s="7">
        <f t="shared" si="9"/>
        <v>2</v>
      </c>
    </row>
    <row r="577">
      <c r="A577" s="6">
        <f t="shared" si="1"/>
        <v>45916</v>
      </c>
      <c r="B577" s="7" t="str">
        <f t="shared" si="2"/>
        <v>Phone</v>
      </c>
      <c r="C577" s="7" t="str">
        <f t="shared" si="3"/>
        <v>Electronics</v>
      </c>
      <c r="D577" s="7" t="str">
        <f t="shared" si="4"/>
        <v>East</v>
      </c>
      <c r="E577" s="8">
        <f t="shared" si="5"/>
        <v>539</v>
      </c>
      <c r="F577" s="8">
        <f t="shared" si="6"/>
        <v>97.02</v>
      </c>
      <c r="G577" s="9">
        <f t="shared" si="7"/>
        <v>1</v>
      </c>
      <c r="H577" s="7" t="str">
        <f t="shared" si="8"/>
        <v>Sep</v>
      </c>
      <c r="I577" s="7">
        <f t="shared" si="9"/>
        <v>9</v>
      </c>
    </row>
    <row r="578">
      <c r="A578" s="6">
        <f t="shared" si="1"/>
        <v>45768</v>
      </c>
      <c r="B578" s="7" t="str">
        <f t="shared" si="2"/>
        <v>Laptop</v>
      </c>
      <c r="C578" s="7" t="str">
        <f t="shared" si="3"/>
        <v>Electronics</v>
      </c>
      <c r="D578" s="7" t="str">
        <f t="shared" si="4"/>
        <v>South</v>
      </c>
      <c r="E578" s="8">
        <f t="shared" si="5"/>
        <v>317</v>
      </c>
      <c r="F578" s="8">
        <f t="shared" si="6"/>
        <v>50.72</v>
      </c>
      <c r="G578" s="9">
        <f t="shared" si="7"/>
        <v>3</v>
      </c>
      <c r="H578" s="7" t="str">
        <f t="shared" si="8"/>
        <v>Apr</v>
      </c>
      <c r="I578" s="7">
        <f t="shared" si="9"/>
        <v>4</v>
      </c>
    </row>
    <row r="579">
      <c r="A579" s="6">
        <f t="shared" si="1"/>
        <v>46019</v>
      </c>
      <c r="B579" s="7" t="str">
        <f t="shared" si="2"/>
        <v>Laptop</v>
      </c>
      <c r="C579" s="7" t="str">
        <f t="shared" si="3"/>
        <v>Electronics</v>
      </c>
      <c r="D579" s="7" t="str">
        <f t="shared" si="4"/>
        <v>West</v>
      </c>
      <c r="E579" s="8">
        <f t="shared" si="5"/>
        <v>1959</v>
      </c>
      <c r="F579" s="8">
        <f t="shared" si="6"/>
        <v>489.75</v>
      </c>
      <c r="G579" s="9">
        <f t="shared" si="7"/>
        <v>4</v>
      </c>
      <c r="H579" s="7" t="str">
        <f t="shared" si="8"/>
        <v>Dec</v>
      </c>
      <c r="I579" s="7">
        <f t="shared" si="9"/>
        <v>12</v>
      </c>
    </row>
    <row r="580">
      <c r="A580" s="6">
        <f t="shared" si="1"/>
        <v>45817</v>
      </c>
      <c r="B580" s="7" t="str">
        <f t="shared" si="2"/>
        <v>Tablet</v>
      </c>
      <c r="C580" s="7" t="str">
        <f t="shared" si="3"/>
        <v>Electronics</v>
      </c>
      <c r="D580" s="7" t="str">
        <f t="shared" si="4"/>
        <v>East</v>
      </c>
      <c r="E580" s="8">
        <f t="shared" si="5"/>
        <v>1299</v>
      </c>
      <c r="F580" s="8">
        <f t="shared" si="6"/>
        <v>142.89</v>
      </c>
      <c r="G580" s="9">
        <f t="shared" si="7"/>
        <v>7</v>
      </c>
      <c r="H580" s="7" t="str">
        <f t="shared" si="8"/>
        <v>Jun</v>
      </c>
      <c r="I580" s="7">
        <f t="shared" si="9"/>
        <v>6</v>
      </c>
    </row>
    <row r="581">
      <c r="A581" s="6">
        <f t="shared" si="1"/>
        <v>45754</v>
      </c>
      <c r="B581" s="7" t="str">
        <f t="shared" si="2"/>
        <v>Tablet</v>
      </c>
      <c r="C581" s="7" t="str">
        <f t="shared" si="3"/>
        <v>Electronics</v>
      </c>
      <c r="D581" s="7" t="str">
        <f t="shared" si="4"/>
        <v>North</v>
      </c>
      <c r="E581" s="8">
        <f t="shared" si="5"/>
        <v>1814</v>
      </c>
      <c r="F581" s="8">
        <f t="shared" si="6"/>
        <v>471.64</v>
      </c>
      <c r="G581" s="9">
        <f t="shared" si="7"/>
        <v>2</v>
      </c>
      <c r="H581" s="7" t="str">
        <f t="shared" si="8"/>
        <v>Apr</v>
      </c>
      <c r="I581" s="7">
        <f t="shared" si="9"/>
        <v>4</v>
      </c>
    </row>
    <row r="582">
      <c r="A582" s="6">
        <f t="shared" si="1"/>
        <v>45760</v>
      </c>
      <c r="B582" s="7" t="str">
        <f t="shared" si="2"/>
        <v>Phone</v>
      </c>
      <c r="C582" s="7" t="str">
        <f t="shared" si="3"/>
        <v>Electronics</v>
      </c>
      <c r="D582" s="7" t="str">
        <f t="shared" si="4"/>
        <v>West</v>
      </c>
      <c r="E582" s="8">
        <f t="shared" si="5"/>
        <v>1405</v>
      </c>
      <c r="F582" s="8">
        <f t="shared" si="6"/>
        <v>182.65</v>
      </c>
      <c r="G582" s="9">
        <f t="shared" si="7"/>
        <v>8</v>
      </c>
      <c r="H582" s="7" t="str">
        <f t="shared" si="8"/>
        <v>Apr</v>
      </c>
      <c r="I582" s="7">
        <f t="shared" si="9"/>
        <v>4</v>
      </c>
    </row>
    <row r="583">
      <c r="A583" s="6">
        <f t="shared" si="1"/>
        <v>45769</v>
      </c>
      <c r="B583" s="7" t="str">
        <f t="shared" si="2"/>
        <v>Chair</v>
      </c>
      <c r="C583" s="7" t="str">
        <f t="shared" si="3"/>
        <v>Furniture</v>
      </c>
      <c r="D583" s="7" t="str">
        <f t="shared" si="4"/>
        <v>West</v>
      </c>
      <c r="E583" s="8">
        <f t="shared" si="5"/>
        <v>776</v>
      </c>
      <c r="F583" s="8">
        <f t="shared" si="6"/>
        <v>194</v>
      </c>
      <c r="G583" s="9">
        <f t="shared" si="7"/>
        <v>5</v>
      </c>
      <c r="H583" s="7" t="str">
        <f t="shared" si="8"/>
        <v>Apr</v>
      </c>
      <c r="I583" s="7">
        <f t="shared" si="9"/>
        <v>4</v>
      </c>
    </row>
    <row r="584">
      <c r="A584" s="6">
        <f t="shared" si="1"/>
        <v>45982</v>
      </c>
      <c r="B584" s="7" t="str">
        <f t="shared" si="2"/>
        <v>Tablet</v>
      </c>
      <c r="C584" s="7" t="str">
        <f t="shared" si="3"/>
        <v>Electronics</v>
      </c>
      <c r="D584" s="7" t="str">
        <f t="shared" si="4"/>
        <v>West</v>
      </c>
      <c r="E584" s="8">
        <f t="shared" si="5"/>
        <v>1863</v>
      </c>
      <c r="F584" s="8">
        <f t="shared" si="6"/>
        <v>204.93</v>
      </c>
      <c r="G584" s="9">
        <f t="shared" si="7"/>
        <v>3</v>
      </c>
      <c r="H584" s="7" t="str">
        <f t="shared" si="8"/>
        <v>Nov</v>
      </c>
      <c r="I584" s="7">
        <f t="shared" si="9"/>
        <v>11</v>
      </c>
    </row>
    <row r="585">
      <c r="A585" s="6">
        <f t="shared" si="1"/>
        <v>45750</v>
      </c>
      <c r="B585" s="7" t="str">
        <f t="shared" si="2"/>
        <v>Chair</v>
      </c>
      <c r="C585" s="7" t="str">
        <f t="shared" si="3"/>
        <v>Furniture</v>
      </c>
      <c r="D585" s="7" t="str">
        <f t="shared" si="4"/>
        <v>East</v>
      </c>
      <c r="E585" s="8">
        <f t="shared" si="5"/>
        <v>1413</v>
      </c>
      <c r="F585" s="8">
        <f t="shared" si="6"/>
        <v>169.56</v>
      </c>
      <c r="G585" s="9">
        <f t="shared" si="7"/>
        <v>3</v>
      </c>
      <c r="H585" s="7" t="str">
        <f t="shared" si="8"/>
        <v>Apr</v>
      </c>
      <c r="I585" s="7">
        <f t="shared" si="9"/>
        <v>4</v>
      </c>
    </row>
    <row r="586">
      <c r="A586" s="6">
        <f t="shared" si="1"/>
        <v>46006</v>
      </c>
      <c r="B586" s="7" t="str">
        <f t="shared" si="2"/>
        <v>Monitor</v>
      </c>
      <c r="C586" s="7" t="str">
        <f t="shared" si="3"/>
        <v>Electronics</v>
      </c>
      <c r="D586" s="7" t="str">
        <f t="shared" si="4"/>
        <v>East</v>
      </c>
      <c r="E586" s="8">
        <f t="shared" si="5"/>
        <v>531</v>
      </c>
      <c r="F586" s="8">
        <f t="shared" si="6"/>
        <v>63.72</v>
      </c>
      <c r="G586" s="9">
        <f t="shared" si="7"/>
        <v>4</v>
      </c>
      <c r="H586" s="7" t="str">
        <f t="shared" si="8"/>
        <v>Dec</v>
      </c>
      <c r="I586" s="7">
        <f t="shared" si="9"/>
        <v>12</v>
      </c>
    </row>
    <row r="587">
      <c r="A587" s="6">
        <f t="shared" si="1"/>
        <v>45984</v>
      </c>
      <c r="B587" s="7" t="str">
        <f t="shared" si="2"/>
        <v>Table</v>
      </c>
      <c r="C587" s="7" t="str">
        <f t="shared" si="3"/>
        <v>Furniture</v>
      </c>
      <c r="D587" s="7" t="str">
        <f t="shared" si="4"/>
        <v>East</v>
      </c>
      <c r="E587" s="8">
        <f t="shared" si="5"/>
        <v>329</v>
      </c>
      <c r="F587" s="8">
        <f t="shared" si="6"/>
        <v>32.9</v>
      </c>
      <c r="G587" s="9">
        <f t="shared" si="7"/>
        <v>1</v>
      </c>
      <c r="H587" s="7" t="str">
        <f t="shared" si="8"/>
        <v>Nov</v>
      </c>
      <c r="I587" s="7">
        <f t="shared" si="9"/>
        <v>11</v>
      </c>
    </row>
    <row r="588">
      <c r="A588" s="6">
        <f t="shared" si="1"/>
        <v>45850</v>
      </c>
      <c r="B588" s="7" t="str">
        <f t="shared" si="2"/>
        <v>Chair</v>
      </c>
      <c r="C588" s="7" t="str">
        <f t="shared" si="3"/>
        <v>Furniture</v>
      </c>
      <c r="D588" s="7" t="str">
        <f t="shared" si="4"/>
        <v>West</v>
      </c>
      <c r="E588" s="8">
        <f t="shared" si="5"/>
        <v>289</v>
      </c>
      <c r="F588" s="8">
        <f t="shared" si="6"/>
        <v>86.7</v>
      </c>
      <c r="G588" s="9">
        <f t="shared" si="7"/>
        <v>3</v>
      </c>
      <c r="H588" s="7" t="str">
        <f t="shared" si="8"/>
        <v>Jul</v>
      </c>
      <c r="I588" s="7">
        <f t="shared" si="9"/>
        <v>7</v>
      </c>
    </row>
    <row r="589">
      <c r="A589" s="6">
        <f t="shared" si="1"/>
        <v>45667</v>
      </c>
      <c r="B589" s="7" t="str">
        <f t="shared" si="2"/>
        <v>Tablet</v>
      </c>
      <c r="C589" s="7" t="str">
        <f t="shared" si="3"/>
        <v>Electronics</v>
      </c>
      <c r="D589" s="7" t="str">
        <f t="shared" si="4"/>
        <v>South</v>
      </c>
      <c r="E589" s="8">
        <f t="shared" si="5"/>
        <v>1203</v>
      </c>
      <c r="F589" s="8">
        <f t="shared" si="6"/>
        <v>192.48</v>
      </c>
      <c r="G589" s="9">
        <f t="shared" si="7"/>
        <v>1</v>
      </c>
      <c r="H589" s="7" t="str">
        <f t="shared" si="8"/>
        <v>Jan</v>
      </c>
      <c r="I589" s="7">
        <f t="shared" si="9"/>
        <v>1</v>
      </c>
    </row>
    <row r="590">
      <c r="A590" s="6">
        <f t="shared" si="1"/>
        <v>45778</v>
      </c>
      <c r="B590" s="7" t="str">
        <f t="shared" si="2"/>
        <v>Chair</v>
      </c>
      <c r="C590" s="7" t="str">
        <f t="shared" si="3"/>
        <v>Furniture</v>
      </c>
      <c r="D590" s="7" t="str">
        <f t="shared" si="4"/>
        <v>West</v>
      </c>
      <c r="E590" s="8">
        <f t="shared" si="5"/>
        <v>1866</v>
      </c>
      <c r="F590" s="8">
        <f t="shared" si="6"/>
        <v>559.8</v>
      </c>
      <c r="G590" s="9">
        <f t="shared" si="7"/>
        <v>4</v>
      </c>
      <c r="H590" s="7" t="str">
        <f t="shared" si="8"/>
        <v>May</v>
      </c>
      <c r="I590" s="7">
        <f t="shared" si="9"/>
        <v>5</v>
      </c>
    </row>
    <row r="591">
      <c r="A591" s="6">
        <f t="shared" si="1"/>
        <v>45763</v>
      </c>
      <c r="B591" s="7" t="str">
        <f t="shared" si="2"/>
        <v>Laptop</v>
      </c>
      <c r="C591" s="7" t="str">
        <f t="shared" si="3"/>
        <v>Electronics</v>
      </c>
      <c r="D591" s="7" t="str">
        <f t="shared" si="4"/>
        <v>North</v>
      </c>
      <c r="E591" s="8">
        <f t="shared" si="5"/>
        <v>1274</v>
      </c>
      <c r="F591" s="8">
        <f t="shared" si="6"/>
        <v>369.46</v>
      </c>
      <c r="G591" s="9">
        <f t="shared" si="7"/>
        <v>4</v>
      </c>
      <c r="H591" s="7" t="str">
        <f t="shared" si="8"/>
        <v>Apr</v>
      </c>
      <c r="I591" s="7">
        <f t="shared" si="9"/>
        <v>4</v>
      </c>
    </row>
    <row r="592">
      <c r="A592" s="6">
        <f t="shared" si="1"/>
        <v>45683</v>
      </c>
      <c r="B592" s="7" t="str">
        <f t="shared" si="2"/>
        <v>Chair</v>
      </c>
      <c r="C592" s="7" t="str">
        <f t="shared" si="3"/>
        <v>Furniture</v>
      </c>
      <c r="D592" s="7" t="str">
        <f t="shared" si="4"/>
        <v>North</v>
      </c>
      <c r="E592" s="8">
        <f t="shared" si="5"/>
        <v>1421</v>
      </c>
      <c r="F592" s="8">
        <f t="shared" si="6"/>
        <v>284.2</v>
      </c>
      <c r="G592" s="9">
        <f t="shared" si="7"/>
        <v>7</v>
      </c>
      <c r="H592" s="7" t="str">
        <f t="shared" si="8"/>
        <v>Jan</v>
      </c>
      <c r="I592" s="7">
        <f t="shared" si="9"/>
        <v>1</v>
      </c>
    </row>
    <row r="593">
      <c r="A593" s="6">
        <f t="shared" si="1"/>
        <v>45983</v>
      </c>
      <c r="B593" s="7" t="str">
        <f t="shared" si="2"/>
        <v>Tablet</v>
      </c>
      <c r="C593" s="7" t="str">
        <f t="shared" si="3"/>
        <v>Electronics</v>
      </c>
      <c r="D593" s="7" t="str">
        <f t="shared" si="4"/>
        <v>West</v>
      </c>
      <c r="E593" s="8">
        <f t="shared" si="5"/>
        <v>497</v>
      </c>
      <c r="F593" s="8">
        <f t="shared" si="6"/>
        <v>109.34</v>
      </c>
      <c r="G593" s="9">
        <f t="shared" si="7"/>
        <v>5</v>
      </c>
      <c r="H593" s="7" t="str">
        <f t="shared" si="8"/>
        <v>Nov</v>
      </c>
      <c r="I593" s="7">
        <f t="shared" si="9"/>
        <v>11</v>
      </c>
    </row>
    <row r="594">
      <c r="A594" s="6">
        <f t="shared" si="1"/>
        <v>45827</v>
      </c>
      <c r="B594" s="7" t="str">
        <f t="shared" si="2"/>
        <v>Table</v>
      </c>
      <c r="C594" s="7" t="str">
        <f t="shared" si="3"/>
        <v>Furniture</v>
      </c>
      <c r="D594" s="7" t="str">
        <f t="shared" si="4"/>
        <v>North</v>
      </c>
      <c r="E594" s="8">
        <f t="shared" si="5"/>
        <v>380</v>
      </c>
      <c r="F594" s="8">
        <f t="shared" si="6"/>
        <v>45.6</v>
      </c>
      <c r="G594" s="9">
        <f t="shared" si="7"/>
        <v>9</v>
      </c>
      <c r="H594" s="7" t="str">
        <f t="shared" si="8"/>
        <v>Jun</v>
      </c>
      <c r="I594" s="7">
        <f t="shared" si="9"/>
        <v>6</v>
      </c>
    </row>
    <row r="595">
      <c r="A595" s="6">
        <f t="shared" si="1"/>
        <v>46012</v>
      </c>
      <c r="B595" s="7" t="str">
        <f t="shared" si="2"/>
        <v>Monitor</v>
      </c>
      <c r="C595" s="7" t="str">
        <f t="shared" si="3"/>
        <v>Electronics</v>
      </c>
      <c r="D595" s="7" t="str">
        <f t="shared" si="4"/>
        <v>East</v>
      </c>
      <c r="E595" s="8">
        <f t="shared" si="5"/>
        <v>1727</v>
      </c>
      <c r="F595" s="8">
        <f t="shared" si="6"/>
        <v>189.97</v>
      </c>
      <c r="G595" s="9">
        <f t="shared" si="7"/>
        <v>4</v>
      </c>
      <c r="H595" s="7" t="str">
        <f t="shared" si="8"/>
        <v>Dec</v>
      </c>
      <c r="I595" s="7">
        <f t="shared" si="9"/>
        <v>12</v>
      </c>
    </row>
    <row r="596">
      <c r="A596" s="6">
        <f t="shared" si="1"/>
        <v>45674</v>
      </c>
      <c r="B596" s="7" t="str">
        <f t="shared" si="2"/>
        <v>Laptop</v>
      </c>
      <c r="C596" s="7" t="str">
        <f t="shared" si="3"/>
        <v>Electronics</v>
      </c>
      <c r="D596" s="7" t="str">
        <f t="shared" si="4"/>
        <v>South</v>
      </c>
      <c r="E596" s="8">
        <f t="shared" si="5"/>
        <v>492</v>
      </c>
      <c r="F596" s="8">
        <f t="shared" si="6"/>
        <v>147.6</v>
      </c>
      <c r="G596" s="9">
        <f t="shared" si="7"/>
        <v>1</v>
      </c>
      <c r="H596" s="7" t="str">
        <f t="shared" si="8"/>
        <v>Jan</v>
      </c>
      <c r="I596" s="7">
        <f t="shared" si="9"/>
        <v>1</v>
      </c>
    </row>
    <row r="597">
      <c r="A597" s="6">
        <f t="shared" si="1"/>
        <v>45808</v>
      </c>
      <c r="B597" s="7" t="str">
        <f t="shared" si="2"/>
        <v>Phone</v>
      </c>
      <c r="C597" s="7" t="str">
        <f t="shared" si="3"/>
        <v>Electronics</v>
      </c>
      <c r="D597" s="7" t="str">
        <f t="shared" si="4"/>
        <v>West</v>
      </c>
      <c r="E597" s="8">
        <f t="shared" si="5"/>
        <v>1477</v>
      </c>
      <c r="F597" s="8">
        <f t="shared" si="6"/>
        <v>280.63</v>
      </c>
      <c r="G597" s="9">
        <f t="shared" si="7"/>
        <v>1</v>
      </c>
      <c r="H597" s="7" t="str">
        <f t="shared" si="8"/>
        <v>May</v>
      </c>
      <c r="I597" s="7">
        <f t="shared" si="9"/>
        <v>5</v>
      </c>
    </row>
    <row r="598">
      <c r="A598" s="6">
        <f t="shared" si="1"/>
        <v>45847</v>
      </c>
      <c r="B598" s="7" t="str">
        <f t="shared" si="2"/>
        <v>Laptop</v>
      </c>
      <c r="C598" s="7" t="str">
        <f t="shared" si="3"/>
        <v>Electronics</v>
      </c>
      <c r="D598" s="7" t="str">
        <f t="shared" si="4"/>
        <v>North</v>
      </c>
      <c r="E598" s="8">
        <f t="shared" si="5"/>
        <v>330</v>
      </c>
      <c r="F598" s="8">
        <f t="shared" si="6"/>
        <v>99</v>
      </c>
      <c r="G598" s="9">
        <f t="shared" si="7"/>
        <v>3</v>
      </c>
      <c r="H598" s="7" t="str">
        <f t="shared" si="8"/>
        <v>Jul</v>
      </c>
      <c r="I598" s="7">
        <f t="shared" si="9"/>
        <v>7</v>
      </c>
    </row>
    <row r="599">
      <c r="A599" s="6">
        <f t="shared" si="1"/>
        <v>45663</v>
      </c>
      <c r="B599" s="7" t="str">
        <f t="shared" si="2"/>
        <v>Table</v>
      </c>
      <c r="C599" s="7" t="str">
        <f t="shared" si="3"/>
        <v>Furniture</v>
      </c>
      <c r="D599" s="7" t="str">
        <f t="shared" si="4"/>
        <v>North</v>
      </c>
      <c r="E599" s="8">
        <f t="shared" si="5"/>
        <v>1799</v>
      </c>
      <c r="F599" s="8">
        <f t="shared" si="6"/>
        <v>395.78</v>
      </c>
      <c r="G599" s="9">
        <f t="shared" si="7"/>
        <v>7</v>
      </c>
      <c r="H599" s="7" t="str">
        <f t="shared" si="8"/>
        <v>Jan</v>
      </c>
      <c r="I599" s="7">
        <f t="shared" si="9"/>
        <v>1</v>
      </c>
    </row>
    <row r="600">
      <c r="A600" s="6">
        <f t="shared" si="1"/>
        <v>45704</v>
      </c>
      <c r="B600" s="7" t="str">
        <f t="shared" si="2"/>
        <v>Monitor</v>
      </c>
      <c r="C600" s="7" t="str">
        <f t="shared" si="3"/>
        <v>Electronics</v>
      </c>
      <c r="D600" s="7" t="str">
        <f t="shared" si="4"/>
        <v>East</v>
      </c>
      <c r="E600" s="8">
        <f t="shared" si="5"/>
        <v>1737</v>
      </c>
      <c r="F600" s="8">
        <f t="shared" si="6"/>
        <v>225.81</v>
      </c>
      <c r="G600" s="9">
        <f t="shared" si="7"/>
        <v>9</v>
      </c>
      <c r="H600" s="7" t="str">
        <f t="shared" si="8"/>
        <v>Feb</v>
      </c>
      <c r="I600" s="7">
        <f t="shared" si="9"/>
        <v>2</v>
      </c>
    </row>
    <row r="601">
      <c r="A601" s="6">
        <f t="shared" si="1"/>
        <v>45903</v>
      </c>
      <c r="B601" s="7" t="str">
        <f t="shared" si="2"/>
        <v>Laptop</v>
      </c>
      <c r="C601" s="7" t="str">
        <f t="shared" si="3"/>
        <v>Electronics</v>
      </c>
      <c r="D601" s="7" t="str">
        <f t="shared" si="4"/>
        <v>South</v>
      </c>
      <c r="E601" s="8">
        <f t="shared" si="5"/>
        <v>874</v>
      </c>
      <c r="F601" s="8">
        <f t="shared" si="6"/>
        <v>253.46</v>
      </c>
      <c r="G601" s="9">
        <f t="shared" si="7"/>
        <v>6</v>
      </c>
      <c r="H601" s="7" t="str">
        <f t="shared" si="8"/>
        <v>Sep</v>
      </c>
      <c r="I601" s="7">
        <f t="shared" si="9"/>
        <v>9</v>
      </c>
    </row>
    <row r="602">
      <c r="A602" s="6">
        <f t="shared" si="1"/>
        <v>45912</v>
      </c>
      <c r="B602" s="7" t="str">
        <f t="shared" si="2"/>
        <v>Monitor</v>
      </c>
      <c r="C602" s="7" t="str">
        <f t="shared" si="3"/>
        <v>Electronics</v>
      </c>
      <c r="D602" s="7" t="str">
        <f t="shared" si="4"/>
        <v>South</v>
      </c>
      <c r="E602" s="8">
        <f t="shared" si="5"/>
        <v>1127</v>
      </c>
      <c r="F602" s="8">
        <f t="shared" si="6"/>
        <v>146.51</v>
      </c>
      <c r="G602" s="9">
        <f t="shared" si="7"/>
        <v>2</v>
      </c>
      <c r="H602" s="7" t="str">
        <f t="shared" si="8"/>
        <v>Sep</v>
      </c>
      <c r="I602" s="7">
        <f t="shared" si="9"/>
        <v>9</v>
      </c>
    </row>
    <row r="603">
      <c r="A603" s="6">
        <f t="shared" si="1"/>
        <v>45769</v>
      </c>
      <c r="B603" s="7" t="str">
        <f t="shared" si="2"/>
        <v>Laptop</v>
      </c>
      <c r="C603" s="7" t="str">
        <f t="shared" si="3"/>
        <v>Electronics</v>
      </c>
      <c r="D603" s="7" t="str">
        <f t="shared" si="4"/>
        <v>South</v>
      </c>
      <c r="E603" s="8">
        <f t="shared" si="5"/>
        <v>1726</v>
      </c>
      <c r="F603" s="8">
        <f t="shared" si="6"/>
        <v>466.02</v>
      </c>
      <c r="G603" s="9">
        <f t="shared" si="7"/>
        <v>2</v>
      </c>
      <c r="H603" s="7" t="str">
        <f t="shared" si="8"/>
        <v>Apr</v>
      </c>
      <c r="I603" s="7">
        <f t="shared" si="9"/>
        <v>4</v>
      </c>
    </row>
    <row r="604">
      <c r="A604" s="6">
        <f t="shared" si="1"/>
        <v>45818</v>
      </c>
      <c r="B604" s="7" t="str">
        <f t="shared" si="2"/>
        <v>Chair</v>
      </c>
      <c r="C604" s="7" t="str">
        <f t="shared" si="3"/>
        <v>Furniture</v>
      </c>
      <c r="D604" s="7" t="str">
        <f t="shared" si="4"/>
        <v>North</v>
      </c>
      <c r="E604" s="8">
        <f t="shared" si="5"/>
        <v>1470</v>
      </c>
      <c r="F604" s="8">
        <f t="shared" si="6"/>
        <v>396.9</v>
      </c>
      <c r="G604" s="9">
        <f t="shared" si="7"/>
        <v>7</v>
      </c>
      <c r="H604" s="7" t="str">
        <f t="shared" si="8"/>
        <v>Jun</v>
      </c>
      <c r="I604" s="7">
        <f t="shared" si="9"/>
        <v>6</v>
      </c>
    </row>
    <row r="605">
      <c r="A605" s="6">
        <f t="shared" si="1"/>
        <v>45764</v>
      </c>
      <c r="B605" s="7" t="str">
        <f t="shared" si="2"/>
        <v>Monitor</v>
      </c>
      <c r="C605" s="7" t="str">
        <f t="shared" si="3"/>
        <v>Electronics</v>
      </c>
      <c r="D605" s="7" t="str">
        <f t="shared" si="4"/>
        <v>North</v>
      </c>
      <c r="E605" s="8">
        <f t="shared" si="5"/>
        <v>1613</v>
      </c>
      <c r="F605" s="8">
        <f t="shared" si="6"/>
        <v>241.95</v>
      </c>
      <c r="G605" s="9">
        <f t="shared" si="7"/>
        <v>4</v>
      </c>
      <c r="H605" s="7" t="str">
        <f t="shared" si="8"/>
        <v>Apr</v>
      </c>
      <c r="I605" s="7">
        <f t="shared" si="9"/>
        <v>4</v>
      </c>
    </row>
    <row r="606">
      <c r="A606" s="6">
        <f t="shared" si="1"/>
        <v>45833</v>
      </c>
      <c r="B606" s="7" t="str">
        <f t="shared" si="2"/>
        <v>Chair</v>
      </c>
      <c r="C606" s="7" t="str">
        <f t="shared" si="3"/>
        <v>Furniture</v>
      </c>
      <c r="D606" s="7" t="str">
        <f t="shared" si="4"/>
        <v>West</v>
      </c>
      <c r="E606" s="8">
        <f t="shared" si="5"/>
        <v>1597</v>
      </c>
      <c r="F606" s="8">
        <f t="shared" si="6"/>
        <v>271.49</v>
      </c>
      <c r="G606" s="9">
        <f t="shared" si="7"/>
        <v>9</v>
      </c>
      <c r="H606" s="7" t="str">
        <f t="shared" si="8"/>
        <v>Jun</v>
      </c>
      <c r="I606" s="7">
        <f t="shared" si="9"/>
        <v>6</v>
      </c>
    </row>
    <row r="607">
      <c r="A607" s="6">
        <f t="shared" si="1"/>
        <v>45779</v>
      </c>
      <c r="B607" s="7" t="str">
        <f t="shared" si="2"/>
        <v>Phone</v>
      </c>
      <c r="C607" s="7" t="str">
        <f t="shared" si="3"/>
        <v>Electronics</v>
      </c>
      <c r="D607" s="7" t="str">
        <f t="shared" si="4"/>
        <v>South</v>
      </c>
      <c r="E607" s="8">
        <f t="shared" si="5"/>
        <v>1848</v>
      </c>
      <c r="F607" s="8">
        <f t="shared" si="6"/>
        <v>332.64</v>
      </c>
      <c r="G607" s="9">
        <f t="shared" si="7"/>
        <v>10</v>
      </c>
      <c r="H607" s="7" t="str">
        <f t="shared" si="8"/>
        <v>May</v>
      </c>
      <c r="I607" s="7">
        <f t="shared" si="9"/>
        <v>5</v>
      </c>
    </row>
    <row r="608">
      <c r="A608" s="6">
        <f t="shared" si="1"/>
        <v>45902</v>
      </c>
      <c r="B608" s="7" t="str">
        <f t="shared" si="2"/>
        <v>Phone</v>
      </c>
      <c r="C608" s="7" t="str">
        <f t="shared" si="3"/>
        <v>Electronics</v>
      </c>
      <c r="D608" s="7" t="str">
        <f t="shared" si="4"/>
        <v>East</v>
      </c>
      <c r="E608" s="8">
        <f t="shared" si="5"/>
        <v>1047</v>
      </c>
      <c r="F608" s="8">
        <f t="shared" si="6"/>
        <v>293.16</v>
      </c>
      <c r="G608" s="9">
        <f t="shared" si="7"/>
        <v>8</v>
      </c>
      <c r="H608" s="7" t="str">
        <f t="shared" si="8"/>
        <v>Sep</v>
      </c>
      <c r="I608" s="7">
        <f t="shared" si="9"/>
        <v>9</v>
      </c>
    </row>
    <row r="609">
      <c r="A609" s="6">
        <f t="shared" si="1"/>
        <v>45956</v>
      </c>
      <c r="B609" s="7" t="str">
        <f t="shared" si="2"/>
        <v>Phone</v>
      </c>
      <c r="C609" s="7" t="str">
        <f t="shared" si="3"/>
        <v>Electronics</v>
      </c>
      <c r="D609" s="7" t="str">
        <f t="shared" si="4"/>
        <v>East</v>
      </c>
      <c r="E609" s="8">
        <f t="shared" si="5"/>
        <v>268</v>
      </c>
      <c r="F609" s="8">
        <f t="shared" si="6"/>
        <v>26.8</v>
      </c>
      <c r="G609" s="9">
        <f t="shared" si="7"/>
        <v>10</v>
      </c>
      <c r="H609" s="7" t="str">
        <f t="shared" si="8"/>
        <v>Oct</v>
      </c>
      <c r="I609" s="7">
        <f t="shared" si="9"/>
        <v>10</v>
      </c>
    </row>
    <row r="610">
      <c r="A610" s="6">
        <f t="shared" si="1"/>
        <v>45748</v>
      </c>
      <c r="B610" s="7" t="str">
        <f t="shared" si="2"/>
        <v>Chair</v>
      </c>
      <c r="C610" s="7" t="str">
        <f t="shared" si="3"/>
        <v>Furniture</v>
      </c>
      <c r="D610" s="7" t="str">
        <f t="shared" si="4"/>
        <v>South</v>
      </c>
      <c r="E610" s="8">
        <f t="shared" si="5"/>
        <v>1291</v>
      </c>
      <c r="F610" s="8">
        <f t="shared" si="6"/>
        <v>245.29</v>
      </c>
      <c r="G610" s="9">
        <f t="shared" si="7"/>
        <v>5</v>
      </c>
      <c r="H610" s="7" t="str">
        <f t="shared" si="8"/>
        <v>Apr</v>
      </c>
      <c r="I610" s="7">
        <f t="shared" si="9"/>
        <v>4</v>
      </c>
    </row>
    <row r="611">
      <c r="A611" s="6">
        <f t="shared" si="1"/>
        <v>45872</v>
      </c>
      <c r="B611" s="7" t="str">
        <f t="shared" si="2"/>
        <v>Table</v>
      </c>
      <c r="C611" s="7" t="str">
        <f t="shared" si="3"/>
        <v>Furniture</v>
      </c>
      <c r="D611" s="7" t="str">
        <f t="shared" si="4"/>
        <v>South</v>
      </c>
      <c r="E611" s="8">
        <f t="shared" si="5"/>
        <v>1774</v>
      </c>
      <c r="F611" s="8">
        <f t="shared" si="6"/>
        <v>532.2</v>
      </c>
      <c r="G611" s="9">
        <f t="shared" si="7"/>
        <v>3</v>
      </c>
      <c r="H611" s="7" t="str">
        <f t="shared" si="8"/>
        <v>Aug</v>
      </c>
      <c r="I611" s="7">
        <f t="shared" si="9"/>
        <v>8</v>
      </c>
    </row>
    <row r="612">
      <c r="A612" s="6">
        <f t="shared" si="1"/>
        <v>45723</v>
      </c>
      <c r="B612" s="7" t="str">
        <f t="shared" si="2"/>
        <v>Monitor</v>
      </c>
      <c r="C612" s="7" t="str">
        <f t="shared" si="3"/>
        <v>Electronics</v>
      </c>
      <c r="D612" s="7" t="str">
        <f t="shared" si="4"/>
        <v>South</v>
      </c>
      <c r="E612" s="8">
        <f t="shared" si="5"/>
        <v>939</v>
      </c>
      <c r="F612" s="8">
        <f t="shared" si="6"/>
        <v>206.58</v>
      </c>
      <c r="G612" s="9">
        <f t="shared" si="7"/>
        <v>2</v>
      </c>
      <c r="H612" s="7" t="str">
        <f t="shared" si="8"/>
        <v>Mar</v>
      </c>
      <c r="I612" s="7">
        <f t="shared" si="9"/>
        <v>3</v>
      </c>
    </row>
    <row r="613">
      <c r="A613" s="6">
        <f t="shared" si="1"/>
        <v>45962</v>
      </c>
      <c r="B613" s="7" t="str">
        <f t="shared" si="2"/>
        <v>Table</v>
      </c>
      <c r="C613" s="7" t="str">
        <f t="shared" si="3"/>
        <v>Furniture</v>
      </c>
      <c r="D613" s="7" t="str">
        <f t="shared" si="4"/>
        <v>North</v>
      </c>
      <c r="E613" s="8">
        <f t="shared" si="5"/>
        <v>383</v>
      </c>
      <c r="F613" s="8">
        <f t="shared" si="6"/>
        <v>65.11</v>
      </c>
      <c r="G613" s="9">
        <f t="shared" si="7"/>
        <v>5</v>
      </c>
      <c r="H613" s="7" t="str">
        <f t="shared" si="8"/>
        <v>Nov</v>
      </c>
      <c r="I613" s="7">
        <f t="shared" si="9"/>
        <v>11</v>
      </c>
    </row>
    <row r="614">
      <c r="A614" s="6">
        <f t="shared" si="1"/>
        <v>45901</v>
      </c>
      <c r="B614" s="7" t="str">
        <f t="shared" si="2"/>
        <v>Monitor</v>
      </c>
      <c r="C614" s="7" t="str">
        <f t="shared" si="3"/>
        <v>Electronics</v>
      </c>
      <c r="D614" s="7" t="str">
        <f t="shared" si="4"/>
        <v>North</v>
      </c>
      <c r="E614" s="8">
        <f t="shared" si="5"/>
        <v>1971</v>
      </c>
      <c r="F614" s="8">
        <f t="shared" si="6"/>
        <v>413.91</v>
      </c>
      <c r="G614" s="9">
        <f t="shared" si="7"/>
        <v>9</v>
      </c>
      <c r="H614" s="7" t="str">
        <f t="shared" si="8"/>
        <v>Sep</v>
      </c>
      <c r="I614" s="7">
        <f t="shared" si="9"/>
        <v>9</v>
      </c>
    </row>
    <row r="615">
      <c r="A615" s="6">
        <f t="shared" si="1"/>
        <v>46013</v>
      </c>
      <c r="B615" s="7" t="str">
        <f t="shared" si="2"/>
        <v>Tablet</v>
      </c>
      <c r="C615" s="7" t="str">
        <f t="shared" si="3"/>
        <v>Electronics</v>
      </c>
      <c r="D615" s="7" t="str">
        <f t="shared" si="4"/>
        <v>South</v>
      </c>
      <c r="E615" s="8">
        <f t="shared" si="5"/>
        <v>1336</v>
      </c>
      <c r="F615" s="8">
        <f t="shared" si="6"/>
        <v>240.48</v>
      </c>
      <c r="G615" s="9">
        <f t="shared" si="7"/>
        <v>6</v>
      </c>
      <c r="H615" s="7" t="str">
        <f t="shared" si="8"/>
        <v>Dec</v>
      </c>
      <c r="I615" s="7">
        <f t="shared" si="9"/>
        <v>12</v>
      </c>
    </row>
    <row r="616">
      <c r="A616" s="6">
        <f t="shared" si="1"/>
        <v>45992</v>
      </c>
      <c r="B616" s="7" t="str">
        <f t="shared" si="2"/>
        <v>Laptop</v>
      </c>
      <c r="C616" s="7" t="str">
        <f t="shared" si="3"/>
        <v>Electronics</v>
      </c>
      <c r="D616" s="7" t="str">
        <f t="shared" si="4"/>
        <v>South</v>
      </c>
      <c r="E616" s="8">
        <f t="shared" si="5"/>
        <v>697</v>
      </c>
      <c r="F616" s="8">
        <f t="shared" si="6"/>
        <v>104.55</v>
      </c>
      <c r="G616" s="9">
        <f t="shared" si="7"/>
        <v>2</v>
      </c>
      <c r="H616" s="7" t="str">
        <f t="shared" si="8"/>
        <v>Dec</v>
      </c>
      <c r="I616" s="7">
        <f t="shared" si="9"/>
        <v>12</v>
      </c>
    </row>
    <row r="617">
      <c r="A617" s="6">
        <f t="shared" si="1"/>
        <v>46019</v>
      </c>
      <c r="B617" s="7" t="str">
        <f t="shared" si="2"/>
        <v>Monitor</v>
      </c>
      <c r="C617" s="7" t="str">
        <f t="shared" si="3"/>
        <v>Electronics</v>
      </c>
      <c r="D617" s="7" t="str">
        <f t="shared" si="4"/>
        <v>East</v>
      </c>
      <c r="E617" s="8">
        <f t="shared" si="5"/>
        <v>563</v>
      </c>
      <c r="F617" s="8">
        <f t="shared" si="6"/>
        <v>146.38</v>
      </c>
      <c r="G617" s="9">
        <f t="shared" si="7"/>
        <v>9</v>
      </c>
      <c r="H617" s="7" t="str">
        <f t="shared" si="8"/>
        <v>Dec</v>
      </c>
      <c r="I617" s="7">
        <f t="shared" si="9"/>
        <v>12</v>
      </c>
    </row>
    <row r="618">
      <c r="A618" s="6">
        <f t="shared" si="1"/>
        <v>45775</v>
      </c>
      <c r="B618" s="7" t="str">
        <f t="shared" si="2"/>
        <v>Laptop</v>
      </c>
      <c r="C618" s="7" t="str">
        <f t="shared" si="3"/>
        <v>Electronics</v>
      </c>
      <c r="D618" s="7" t="str">
        <f t="shared" si="4"/>
        <v>West</v>
      </c>
      <c r="E618" s="8">
        <f t="shared" si="5"/>
        <v>490</v>
      </c>
      <c r="F618" s="8">
        <f t="shared" si="6"/>
        <v>147</v>
      </c>
      <c r="G618" s="9">
        <f t="shared" si="7"/>
        <v>5</v>
      </c>
      <c r="H618" s="7" t="str">
        <f t="shared" si="8"/>
        <v>Apr</v>
      </c>
      <c r="I618" s="7">
        <f t="shared" si="9"/>
        <v>4</v>
      </c>
    </row>
    <row r="619">
      <c r="A619" s="6">
        <f t="shared" si="1"/>
        <v>45867</v>
      </c>
      <c r="B619" s="7" t="str">
        <f t="shared" si="2"/>
        <v>Table</v>
      </c>
      <c r="C619" s="7" t="str">
        <f t="shared" si="3"/>
        <v>Furniture</v>
      </c>
      <c r="D619" s="7" t="str">
        <f t="shared" si="4"/>
        <v>West</v>
      </c>
      <c r="E619" s="8">
        <f t="shared" si="5"/>
        <v>535</v>
      </c>
      <c r="F619" s="8">
        <f t="shared" si="6"/>
        <v>101.65</v>
      </c>
      <c r="G619" s="9">
        <f t="shared" si="7"/>
        <v>6</v>
      </c>
      <c r="H619" s="7" t="str">
        <f t="shared" si="8"/>
        <v>Jul</v>
      </c>
      <c r="I619" s="7">
        <f t="shared" si="9"/>
        <v>7</v>
      </c>
    </row>
    <row r="620">
      <c r="A620" s="6">
        <f t="shared" si="1"/>
        <v>45937</v>
      </c>
      <c r="B620" s="7" t="str">
        <f t="shared" si="2"/>
        <v>Monitor</v>
      </c>
      <c r="C620" s="7" t="str">
        <f t="shared" si="3"/>
        <v>Electronics</v>
      </c>
      <c r="D620" s="7" t="str">
        <f t="shared" si="4"/>
        <v>East</v>
      </c>
      <c r="E620" s="8">
        <f t="shared" si="5"/>
        <v>1044</v>
      </c>
      <c r="F620" s="8">
        <f t="shared" si="6"/>
        <v>114.84</v>
      </c>
      <c r="G620" s="9">
        <f t="shared" si="7"/>
        <v>1</v>
      </c>
      <c r="H620" s="7" t="str">
        <f t="shared" si="8"/>
        <v>Oct</v>
      </c>
      <c r="I620" s="7">
        <f t="shared" si="9"/>
        <v>10</v>
      </c>
    </row>
    <row r="621">
      <c r="A621" s="6">
        <f t="shared" si="1"/>
        <v>45694</v>
      </c>
      <c r="B621" s="7" t="str">
        <f t="shared" si="2"/>
        <v>Tablet</v>
      </c>
      <c r="C621" s="7" t="str">
        <f t="shared" si="3"/>
        <v>Electronics</v>
      </c>
      <c r="D621" s="7" t="str">
        <f t="shared" si="4"/>
        <v>East</v>
      </c>
      <c r="E621" s="8">
        <f t="shared" si="5"/>
        <v>550</v>
      </c>
      <c r="F621" s="8">
        <f t="shared" si="6"/>
        <v>60.5</v>
      </c>
      <c r="G621" s="9">
        <f t="shared" si="7"/>
        <v>4</v>
      </c>
      <c r="H621" s="7" t="str">
        <f t="shared" si="8"/>
        <v>Feb</v>
      </c>
      <c r="I621" s="7">
        <f t="shared" si="9"/>
        <v>2</v>
      </c>
    </row>
    <row r="622">
      <c r="A622" s="6">
        <f t="shared" si="1"/>
        <v>45691</v>
      </c>
      <c r="B622" s="7" t="str">
        <f t="shared" si="2"/>
        <v>Tablet</v>
      </c>
      <c r="C622" s="7" t="str">
        <f t="shared" si="3"/>
        <v>Electronics</v>
      </c>
      <c r="D622" s="7" t="str">
        <f t="shared" si="4"/>
        <v>South</v>
      </c>
      <c r="E622" s="8">
        <f t="shared" si="5"/>
        <v>562</v>
      </c>
      <c r="F622" s="8">
        <f t="shared" si="6"/>
        <v>151.74</v>
      </c>
      <c r="G622" s="9">
        <f t="shared" si="7"/>
        <v>2</v>
      </c>
      <c r="H622" s="7" t="str">
        <f t="shared" si="8"/>
        <v>Feb</v>
      </c>
      <c r="I622" s="7">
        <f t="shared" si="9"/>
        <v>2</v>
      </c>
    </row>
    <row r="623">
      <c r="A623" s="6">
        <f t="shared" si="1"/>
        <v>45936</v>
      </c>
      <c r="B623" s="7" t="str">
        <f t="shared" si="2"/>
        <v>Monitor</v>
      </c>
      <c r="C623" s="7" t="str">
        <f t="shared" si="3"/>
        <v>Electronics</v>
      </c>
      <c r="D623" s="7" t="str">
        <f t="shared" si="4"/>
        <v>East</v>
      </c>
      <c r="E623" s="8">
        <f t="shared" si="5"/>
        <v>1057</v>
      </c>
      <c r="F623" s="8">
        <f t="shared" si="6"/>
        <v>232.54</v>
      </c>
      <c r="G623" s="9">
        <f t="shared" si="7"/>
        <v>8</v>
      </c>
      <c r="H623" s="7" t="str">
        <f t="shared" si="8"/>
        <v>Oct</v>
      </c>
      <c r="I623" s="7">
        <f t="shared" si="9"/>
        <v>10</v>
      </c>
    </row>
    <row r="624">
      <c r="A624" s="6">
        <f t="shared" si="1"/>
        <v>45758</v>
      </c>
      <c r="B624" s="7" t="str">
        <f t="shared" si="2"/>
        <v>Table</v>
      </c>
      <c r="C624" s="7" t="str">
        <f t="shared" si="3"/>
        <v>Furniture</v>
      </c>
      <c r="D624" s="7" t="str">
        <f t="shared" si="4"/>
        <v>East</v>
      </c>
      <c r="E624" s="8">
        <f t="shared" si="5"/>
        <v>1512</v>
      </c>
      <c r="F624" s="8">
        <f t="shared" si="6"/>
        <v>211.68</v>
      </c>
      <c r="G624" s="9">
        <f t="shared" si="7"/>
        <v>5</v>
      </c>
      <c r="H624" s="7" t="str">
        <f t="shared" si="8"/>
        <v>Apr</v>
      </c>
      <c r="I624" s="7">
        <f t="shared" si="9"/>
        <v>4</v>
      </c>
    </row>
    <row r="625">
      <c r="A625" s="6">
        <f t="shared" si="1"/>
        <v>45728</v>
      </c>
      <c r="B625" s="7" t="str">
        <f t="shared" si="2"/>
        <v>Monitor</v>
      </c>
      <c r="C625" s="7" t="str">
        <f t="shared" si="3"/>
        <v>Electronics</v>
      </c>
      <c r="D625" s="7" t="str">
        <f t="shared" si="4"/>
        <v>West</v>
      </c>
      <c r="E625" s="8">
        <f t="shared" si="5"/>
        <v>1695</v>
      </c>
      <c r="F625" s="8">
        <f t="shared" si="6"/>
        <v>271.2</v>
      </c>
      <c r="G625" s="9">
        <f t="shared" si="7"/>
        <v>9</v>
      </c>
      <c r="H625" s="7" t="str">
        <f t="shared" si="8"/>
        <v>Mar</v>
      </c>
      <c r="I625" s="7">
        <f t="shared" si="9"/>
        <v>3</v>
      </c>
    </row>
    <row r="626">
      <c r="A626" s="6">
        <f t="shared" si="1"/>
        <v>45761</v>
      </c>
      <c r="B626" s="7" t="str">
        <f t="shared" si="2"/>
        <v>Phone</v>
      </c>
      <c r="C626" s="7" t="str">
        <f t="shared" si="3"/>
        <v>Electronics</v>
      </c>
      <c r="D626" s="7" t="str">
        <f t="shared" si="4"/>
        <v>East</v>
      </c>
      <c r="E626" s="8">
        <f t="shared" si="5"/>
        <v>586</v>
      </c>
      <c r="F626" s="8">
        <f t="shared" si="6"/>
        <v>169.94</v>
      </c>
      <c r="G626" s="9">
        <f t="shared" si="7"/>
        <v>8</v>
      </c>
      <c r="H626" s="7" t="str">
        <f t="shared" si="8"/>
        <v>Apr</v>
      </c>
      <c r="I626" s="7">
        <f t="shared" si="9"/>
        <v>4</v>
      </c>
    </row>
    <row r="627">
      <c r="A627" s="6">
        <f t="shared" si="1"/>
        <v>45846</v>
      </c>
      <c r="B627" s="7" t="str">
        <f t="shared" si="2"/>
        <v>Laptop</v>
      </c>
      <c r="C627" s="7" t="str">
        <f t="shared" si="3"/>
        <v>Electronics</v>
      </c>
      <c r="D627" s="7" t="str">
        <f t="shared" si="4"/>
        <v>West</v>
      </c>
      <c r="E627" s="8">
        <f t="shared" si="5"/>
        <v>1232</v>
      </c>
      <c r="F627" s="8">
        <f t="shared" si="6"/>
        <v>308</v>
      </c>
      <c r="G627" s="9">
        <f t="shared" si="7"/>
        <v>1</v>
      </c>
      <c r="H627" s="7" t="str">
        <f t="shared" si="8"/>
        <v>Jul</v>
      </c>
      <c r="I627" s="7">
        <f t="shared" si="9"/>
        <v>7</v>
      </c>
    </row>
    <row r="628">
      <c r="A628" s="6">
        <f t="shared" si="1"/>
        <v>46016</v>
      </c>
      <c r="B628" s="7" t="str">
        <f t="shared" si="2"/>
        <v>Laptop</v>
      </c>
      <c r="C628" s="7" t="str">
        <f t="shared" si="3"/>
        <v>Electronics</v>
      </c>
      <c r="D628" s="7" t="str">
        <f t="shared" si="4"/>
        <v>South</v>
      </c>
      <c r="E628" s="8">
        <f t="shared" si="5"/>
        <v>856</v>
      </c>
      <c r="F628" s="8">
        <f t="shared" si="6"/>
        <v>222.56</v>
      </c>
      <c r="G628" s="9">
        <f t="shared" si="7"/>
        <v>1</v>
      </c>
      <c r="H628" s="7" t="str">
        <f t="shared" si="8"/>
        <v>Dec</v>
      </c>
      <c r="I628" s="7">
        <f t="shared" si="9"/>
        <v>12</v>
      </c>
    </row>
    <row r="629">
      <c r="A629" s="6">
        <f t="shared" si="1"/>
        <v>45851</v>
      </c>
      <c r="B629" s="7" t="str">
        <f t="shared" si="2"/>
        <v>Chair</v>
      </c>
      <c r="C629" s="7" t="str">
        <f t="shared" si="3"/>
        <v>Furniture</v>
      </c>
      <c r="D629" s="7" t="str">
        <f t="shared" si="4"/>
        <v>East</v>
      </c>
      <c r="E629" s="8">
        <f t="shared" si="5"/>
        <v>596</v>
      </c>
      <c r="F629" s="8">
        <f t="shared" si="6"/>
        <v>137.08</v>
      </c>
      <c r="G629" s="9">
        <f t="shared" si="7"/>
        <v>6</v>
      </c>
      <c r="H629" s="7" t="str">
        <f t="shared" si="8"/>
        <v>Jul</v>
      </c>
      <c r="I629" s="7">
        <f t="shared" si="9"/>
        <v>7</v>
      </c>
    </row>
    <row r="630">
      <c r="A630" s="6">
        <f t="shared" si="1"/>
        <v>45730</v>
      </c>
      <c r="B630" s="7" t="str">
        <f t="shared" si="2"/>
        <v>Phone</v>
      </c>
      <c r="C630" s="7" t="str">
        <f t="shared" si="3"/>
        <v>Electronics</v>
      </c>
      <c r="D630" s="7" t="str">
        <f t="shared" si="4"/>
        <v>South</v>
      </c>
      <c r="E630" s="8">
        <f t="shared" si="5"/>
        <v>623</v>
      </c>
      <c r="F630" s="8">
        <f t="shared" si="6"/>
        <v>143.29</v>
      </c>
      <c r="G630" s="9">
        <f t="shared" si="7"/>
        <v>4</v>
      </c>
      <c r="H630" s="7" t="str">
        <f t="shared" si="8"/>
        <v>Mar</v>
      </c>
      <c r="I630" s="7">
        <f t="shared" si="9"/>
        <v>3</v>
      </c>
    </row>
    <row r="631">
      <c r="A631" s="6">
        <f t="shared" si="1"/>
        <v>45849</v>
      </c>
      <c r="B631" s="7" t="str">
        <f t="shared" si="2"/>
        <v>Laptop</v>
      </c>
      <c r="C631" s="7" t="str">
        <f t="shared" si="3"/>
        <v>Electronics</v>
      </c>
      <c r="D631" s="7" t="str">
        <f t="shared" si="4"/>
        <v>West</v>
      </c>
      <c r="E631" s="8">
        <f t="shared" si="5"/>
        <v>1649</v>
      </c>
      <c r="F631" s="8">
        <f t="shared" si="6"/>
        <v>379.27</v>
      </c>
      <c r="G631" s="9">
        <f t="shared" si="7"/>
        <v>10</v>
      </c>
      <c r="H631" s="7" t="str">
        <f t="shared" si="8"/>
        <v>Jul</v>
      </c>
      <c r="I631" s="7">
        <f t="shared" si="9"/>
        <v>7</v>
      </c>
    </row>
    <row r="632">
      <c r="A632" s="6">
        <f t="shared" si="1"/>
        <v>45817</v>
      </c>
      <c r="B632" s="7" t="str">
        <f t="shared" si="2"/>
        <v>Tablet</v>
      </c>
      <c r="C632" s="7" t="str">
        <f t="shared" si="3"/>
        <v>Electronics</v>
      </c>
      <c r="D632" s="7" t="str">
        <f t="shared" si="4"/>
        <v>East</v>
      </c>
      <c r="E632" s="8">
        <f t="shared" si="5"/>
        <v>326</v>
      </c>
      <c r="F632" s="8">
        <f t="shared" si="6"/>
        <v>35.86</v>
      </c>
      <c r="G632" s="9">
        <f t="shared" si="7"/>
        <v>9</v>
      </c>
      <c r="H632" s="7" t="str">
        <f t="shared" si="8"/>
        <v>Jun</v>
      </c>
      <c r="I632" s="7">
        <f t="shared" si="9"/>
        <v>6</v>
      </c>
    </row>
    <row r="633">
      <c r="A633" s="6">
        <f t="shared" si="1"/>
        <v>45794</v>
      </c>
      <c r="B633" s="7" t="str">
        <f t="shared" si="2"/>
        <v>Laptop</v>
      </c>
      <c r="C633" s="7" t="str">
        <f t="shared" si="3"/>
        <v>Electronics</v>
      </c>
      <c r="D633" s="7" t="str">
        <f t="shared" si="4"/>
        <v>East</v>
      </c>
      <c r="E633" s="8">
        <f t="shared" si="5"/>
        <v>1657</v>
      </c>
      <c r="F633" s="8">
        <f t="shared" si="6"/>
        <v>248.55</v>
      </c>
      <c r="G633" s="9">
        <f t="shared" si="7"/>
        <v>9</v>
      </c>
      <c r="H633" s="7" t="str">
        <f t="shared" si="8"/>
        <v>May</v>
      </c>
      <c r="I633" s="7">
        <f t="shared" si="9"/>
        <v>5</v>
      </c>
    </row>
    <row r="634">
      <c r="A634" s="6">
        <f t="shared" si="1"/>
        <v>45978</v>
      </c>
      <c r="B634" s="7" t="str">
        <f t="shared" si="2"/>
        <v>Monitor</v>
      </c>
      <c r="C634" s="7" t="str">
        <f t="shared" si="3"/>
        <v>Electronics</v>
      </c>
      <c r="D634" s="7" t="str">
        <f t="shared" si="4"/>
        <v>West</v>
      </c>
      <c r="E634" s="8">
        <f t="shared" si="5"/>
        <v>492</v>
      </c>
      <c r="F634" s="8">
        <f t="shared" si="6"/>
        <v>68.88</v>
      </c>
      <c r="G634" s="9">
        <f t="shared" si="7"/>
        <v>1</v>
      </c>
      <c r="H634" s="7" t="str">
        <f t="shared" si="8"/>
        <v>Nov</v>
      </c>
      <c r="I634" s="7">
        <f t="shared" si="9"/>
        <v>11</v>
      </c>
    </row>
    <row r="635">
      <c r="A635" s="6">
        <f t="shared" si="1"/>
        <v>45888</v>
      </c>
      <c r="B635" s="7" t="str">
        <f t="shared" si="2"/>
        <v>Monitor</v>
      </c>
      <c r="C635" s="7" t="str">
        <f t="shared" si="3"/>
        <v>Electronics</v>
      </c>
      <c r="D635" s="7" t="str">
        <f t="shared" si="4"/>
        <v>East</v>
      </c>
      <c r="E635" s="8">
        <f t="shared" si="5"/>
        <v>986</v>
      </c>
      <c r="F635" s="8">
        <f t="shared" si="6"/>
        <v>138.04</v>
      </c>
      <c r="G635" s="9">
        <f t="shared" si="7"/>
        <v>10</v>
      </c>
      <c r="H635" s="7" t="str">
        <f t="shared" si="8"/>
        <v>Aug</v>
      </c>
      <c r="I635" s="7">
        <f t="shared" si="9"/>
        <v>8</v>
      </c>
    </row>
    <row r="636">
      <c r="A636" s="6">
        <f t="shared" si="1"/>
        <v>46016</v>
      </c>
      <c r="B636" s="7" t="str">
        <f t="shared" si="2"/>
        <v>Tablet</v>
      </c>
      <c r="C636" s="7" t="str">
        <f t="shared" si="3"/>
        <v>Electronics</v>
      </c>
      <c r="D636" s="7" t="str">
        <f t="shared" si="4"/>
        <v>North</v>
      </c>
      <c r="E636" s="8">
        <f t="shared" si="5"/>
        <v>1279</v>
      </c>
      <c r="F636" s="8">
        <f t="shared" si="6"/>
        <v>319.75</v>
      </c>
      <c r="G636" s="9">
        <f t="shared" si="7"/>
        <v>5</v>
      </c>
      <c r="H636" s="7" t="str">
        <f t="shared" si="8"/>
        <v>Dec</v>
      </c>
      <c r="I636" s="7">
        <f t="shared" si="9"/>
        <v>12</v>
      </c>
    </row>
    <row r="637">
      <c r="A637" s="6">
        <f t="shared" si="1"/>
        <v>45829</v>
      </c>
      <c r="B637" s="7" t="str">
        <f t="shared" si="2"/>
        <v>Monitor</v>
      </c>
      <c r="C637" s="7" t="str">
        <f t="shared" si="3"/>
        <v>Electronics</v>
      </c>
      <c r="D637" s="7" t="str">
        <f t="shared" si="4"/>
        <v>West</v>
      </c>
      <c r="E637" s="8">
        <f t="shared" si="5"/>
        <v>1335</v>
      </c>
      <c r="F637" s="8">
        <f t="shared" si="6"/>
        <v>226.95</v>
      </c>
      <c r="G637" s="9">
        <f t="shared" si="7"/>
        <v>9</v>
      </c>
      <c r="H637" s="7" t="str">
        <f t="shared" si="8"/>
        <v>Jun</v>
      </c>
      <c r="I637" s="7">
        <f t="shared" si="9"/>
        <v>6</v>
      </c>
    </row>
    <row r="638">
      <c r="A638" s="6">
        <f t="shared" si="1"/>
        <v>46009</v>
      </c>
      <c r="B638" s="7" t="str">
        <f t="shared" si="2"/>
        <v>Monitor</v>
      </c>
      <c r="C638" s="7" t="str">
        <f t="shared" si="3"/>
        <v>Electronics</v>
      </c>
      <c r="D638" s="7" t="str">
        <f t="shared" si="4"/>
        <v>North</v>
      </c>
      <c r="E638" s="8">
        <f t="shared" si="5"/>
        <v>1080</v>
      </c>
      <c r="F638" s="8">
        <f t="shared" si="6"/>
        <v>291.6</v>
      </c>
      <c r="G638" s="9">
        <f t="shared" si="7"/>
        <v>8</v>
      </c>
      <c r="H638" s="7" t="str">
        <f t="shared" si="8"/>
        <v>Dec</v>
      </c>
      <c r="I638" s="7">
        <f t="shared" si="9"/>
        <v>12</v>
      </c>
    </row>
    <row r="639">
      <c r="A639" s="6">
        <f t="shared" si="1"/>
        <v>46007</v>
      </c>
      <c r="B639" s="7" t="str">
        <f t="shared" si="2"/>
        <v>Chair</v>
      </c>
      <c r="C639" s="7" t="str">
        <f t="shared" si="3"/>
        <v>Furniture</v>
      </c>
      <c r="D639" s="7" t="str">
        <f t="shared" si="4"/>
        <v>East</v>
      </c>
      <c r="E639" s="8">
        <f t="shared" si="5"/>
        <v>1499</v>
      </c>
      <c r="F639" s="8">
        <f t="shared" si="6"/>
        <v>194.87</v>
      </c>
      <c r="G639" s="9">
        <f t="shared" si="7"/>
        <v>5</v>
      </c>
      <c r="H639" s="7" t="str">
        <f t="shared" si="8"/>
        <v>Dec</v>
      </c>
      <c r="I639" s="7">
        <f t="shared" si="9"/>
        <v>12</v>
      </c>
    </row>
    <row r="640">
      <c r="A640" s="6">
        <f t="shared" si="1"/>
        <v>45884</v>
      </c>
      <c r="B640" s="7" t="str">
        <f t="shared" si="2"/>
        <v>Monitor</v>
      </c>
      <c r="C640" s="7" t="str">
        <f t="shared" si="3"/>
        <v>Electronics</v>
      </c>
      <c r="D640" s="7" t="str">
        <f t="shared" si="4"/>
        <v>South</v>
      </c>
      <c r="E640" s="8">
        <f t="shared" si="5"/>
        <v>462</v>
      </c>
      <c r="F640" s="8">
        <f t="shared" si="6"/>
        <v>60.06</v>
      </c>
      <c r="G640" s="9">
        <f t="shared" si="7"/>
        <v>3</v>
      </c>
      <c r="H640" s="7" t="str">
        <f t="shared" si="8"/>
        <v>Aug</v>
      </c>
      <c r="I640" s="7">
        <f t="shared" si="9"/>
        <v>8</v>
      </c>
    </row>
    <row r="641">
      <c r="A641" s="6">
        <f t="shared" si="1"/>
        <v>45664</v>
      </c>
      <c r="B641" s="7" t="str">
        <f t="shared" si="2"/>
        <v>Phone</v>
      </c>
      <c r="C641" s="7" t="str">
        <f t="shared" si="3"/>
        <v>Electronics</v>
      </c>
      <c r="D641" s="7" t="str">
        <f t="shared" si="4"/>
        <v>North</v>
      </c>
      <c r="E641" s="8">
        <f t="shared" si="5"/>
        <v>1370</v>
      </c>
      <c r="F641" s="8">
        <f t="shared" si="6"/>
        <v>315.1</v>
      </c>
      <c r="G641" s="9">
        <f t="shared" si="7"/>
        <v>9</v>
      </c>
      <c r="H641" s="7" t="str">
        <f t="shared" si="8"/>
        <v>Jan</v>
      </c>
      <c r="I641" s="7">
        <f t="shared" si="9"/>
        <v>1</v>
      </c>
    </row>
    <row r="642">
      <c r="A642" s="6">
        <f t="shared" si="1"/>
        <v>45765</v>
      </c>
      <c r="B642" s="7" t="str">
        <f t="shared" si="2"/>
        <v>Tablet</v>
      </c>
      <c r="C642" s="7" t="str">
        <f t="shared" si="3"/>
        <v>Electronics</v>
      </c>
      <c r="D642" s="7" t="str">
        <f t="shared" si="4"/>
        <v>South</v>
      </c>
      <c r="E642" s="8">
        <f t="shared" si="5"/>
        <v>1253</v>
      </c>
      <c r="F642" s="8">
        <f t="shared" si="6"/>
        <v>200.48</v>
      </c>
      <c r="G642" s="9">
        <f t="shared" si="7"/>
        <v>10</v>
      </c>
      <c r="H642" s="7" t="str">
        <f t="shared" si="8"/>
        <v>Apr</v>
      </c>
      <c r="I642" s="7">
        <f t="shared" si="9"/>
        <v>4</v>
      </c>
    </row>
    <row r="643">
      <c r="A643" s="6">
        <f t="shared" si="1"/>
        <v>46023</v>
      </c>
      <c r="B643" s="7" t="str">
        <f t="shared" si="2"/>
        <v>Laptop</v>
      </c>
      <c r="C643" s="7" t="str">
        <f t="shared" si="3"/>
        <v>Electronics</v>
      </c>
      <c r="D643" s="7" t="str">
        <f t="shared" si="4"/>
        <v>East</v>
      </c>
      <c r="E643" s="8">
        <f t="shared" si="5"/>
        <v>673</v>
      </c>
      <c r="F643" s="8">
        <f t="shared" si="6"/>
        <v>114.41</v>
      </c>
      <c r="G643" s="9">
        <f t="shared" si="7"/>
        <v>5</v>
      </c>
      <c r="H643" s="7" t="str">
        <f t="shared" si="8"/>
        <v>Jan</v>
      </c>
      <c r="I643" s="7">
        <f t="shared" si="9"/>
        <v>1</v>
      </c>
    </row>
    <row r="644">
      <c r="A644" s="6">
        <f t="shared" si="1"/>
        <v>46005</v>
      </c>
      <c r="B644" s="7" t="str">
        <f t="shared" si="2"/>
        <v>Tablet</v>
      </c>
      <c r="C644" s="7" t="str">
        <f t="shared" si="3"/>
        <v>Electronics</v>
      </c>
      <c r="D644" s="7" t="str">
        <f t="shared" si="4"/>
        <v>South</v>
      </c>
      <c r="E644" s="8">
        <f t="shared" si="5"/>
        <v>358</v>
      </c>
      <c r="F644" s="8">
        <f t="shared" si="6"/>
        <v>93.08</v>
      </c>
      <c r="G644" s="9">
        <f t="shared" si="7"/>
        <v>10</v>
      </c>
      <c r="H644" s="7" t="str">
        <f t="shared" si="8"/>
        <v>Dec</v>
      </c>
      <c r="I644" s="7">
        <f t="shared" si="9"/>
        <v>12</v>
      </c>
    </row>
    <row r="645">
      <c r="A645" s="6">
        <f t="shared" si="1"/>
        <v>45740</v>
      </c>
      <c r="B645" s="7" t="str">
        <f t="shared" si="2"/>
        <v>Laptop</v>
      </c>
      <c r="C645" s="7" t="str">
        <f t="shared" si="3"/>
        <v>Electronics</v>
      </c>
      <c r="D645" s="7" t="str">
        <f t="shared" si="4"/>
        <v>South</v>
      </c>
      <c r="E645" s="8">
        <f t="shared" si="5"/>
        <v>1207</v>
      </c>
      <c r="F645" s="8">
        <f t="shared" si="6"/>
        <v>277.61</v>
      </c>
      <c r="G645" s="9">
        <f t="shared" si="7"/>
        <v>2</v>
      </c>
      <c r="H645" s="7" t="str">
        <f t="shared" si="8"/>
        <v>Mar</v>
      </c>
      <c r="I645" s="7">
        <f t="shared" si="9"/>
        <v>3</v>
      </c>
    </row>
    <row r="646">
      <c r="A646" s="6">
        <f t="shared" si="1"/>
        <v>45864</v>
      </c>
      <c r="B646" s="7" t="str">
        <f t="shared" si="2"/>
        <v>Laptop</v>
      </c>
      <c r="C646" s="7" t="str">
        <f t="shared" si="3"/>
        <v>Electronics</v>
      </c>
      <c r="D646" s="7" t="str">
        <f t="shared" si="4"/>
        <v>West</v>
      </c>
      <c r="E646" s="8">
        <f t="shared" si="5"/>
        <v>513</v>
      </c>
      <c r="F646" s="8">
        <f t="shared" si="6"/>
        <v>128.25</v>
      </c>
      <c r="G646" s="9">
        <f t="shared" si="7"/>
        <v>4</v>
      </c>
      <c r="H646" s="7" t="str">
        <f t="shared" si="8"/>
        <v>Jul</v>
      </c>
      <c r="I646" s="7">
        <f t="shared" si="9"/>
        <v>7</v>
      </c>
    </row>
    <row r="647">
      <c r="A647" s="6">
        <f t="shared" si="1"/>
        <v>46011</v>
      </c>
      <c r="B647" s="7" t="str">
        <f t="shared" si="2"/>
        <v>Phone</v>
      </c>
      <c r="C647" s="7" t="str">
        <f t="shared" si="3"/>
        <v>Electronics</v>
      </c>
      <c r="D647" s="7" t="str">
        <f t="shared" si="4"/>
        <v>North</v>
      </c>
      <c r="E647" s="8">
        <f t="shared" si="5"/>
        <v>1721</v>
      </c>
      <c r="F647" s="8">
        <f t="shared" si="6"/>
        <v>292.57</v>
      </c>
      <c r="G647" s="9">
        <f t="shared" si="7"/>
        <v>2</v>
      </c>
      <c r="H647" s="7" t="str">
        <f t="shared" si="8"/>
        <v>Dec</v>
      </c>
      <c r="I647" s="7">
        <f t="shared" si="9"/>
        <v>12</v>
      </c>
    </row>
    <row r="648">
      <c r="A648" s="6">
        <f t="shared" si="1"/>
        <v>45996</v>
      </c>
      <c r="B648" s="7" t="str">
        <f t="shared" si="2"/>
        <v>Chair</v>
      </c>
      <c r="C648" s="7" t="str">
        <f t="shared" si="3"/>
        <v>Furniture</v>
      </c>
      <c r="D648" s="7" t="str">
        <f t="shared" si="4"/>
        <v>West</v>
      </c>
      <c r="E648" s="8">
        <f t="shared" si="5"/>
        <v>1788</v>
      </c>
      <c r="F648" s="8">
        <f t="shared" si="6"/>
        <v>482.76</v>
      </c>
      <c r="G648" s="9">
        <f t="shared" si="7"/>
        <v>4</v>
      </c>
      <c r="H648" s="7" t="str">
        <f t="shared" si="8"/>
        <v>Dec</v>
      </c>
      <c r="I648" s="7">
        <f t="shared" si="9"/>
        <v>12</v>
      </c>
    </row>
    <row r="649">
      <c r="A649" s="6">
        <f t="shared" si="1"/>
        <v>45774</v>
      </c>
      <c r="B649" s="7" t="str">
        <f t="shared" si="2"/>
        <v>Chair</v>
      </c>
      <c r="C649" s="7" t="str">
        <f t="shared" si="3"/>
        <v>Furniture</v>
      </c>
      <c r="D649" s="7" t="str">
        <f t="shared" si="4"/>
        <v>East</v>
      </c>
      <c r="E649" s="8">
        <f t="shared" si="5"/>
        <v>1057</v>
      </c>
      <c r="F649" s="8">
        <f t="shared" si="6"/>
        <v>147.98</v>
      </c>
      <c r="G649" s="9">
        <f t="shared" si="7"/>
        <v>8</v>
      </c>
      <c r="H649" s="7" t="str">
        <f t="shared" si="8"/>
        <v>Apr</v>
      </c>
      <c r="I649" s="7">
        <f t="shared" si="9"/>
        <v>4</v>
      </c>
    </row>
    <row r="650">
      <c r="A650" s="6">
        <f t="shared" si="1"/>
        <v>45883</v>
      </c>
      <c r="B650" s="7" t="str">
        <f t="shared" si="2"/>
        <v>Tablet</v>
      </c>
      <c r="C650" s="7" t="str">
        <f t="shared" si="3"/>
        <v>Electronics</v>
      </c>
      <c r="D650" s="7" t="str">
        <f t="shared" si="4"/>
        <v>South</v>
      </c>
      <c r="E650" s="8">
        <f t="shared" si="5"/>
        <v>630</v>
      </c>
      <c r="F650" s="8">
        <f t="shared" si="6"/>
        <v>63</v>
      </c>
      <c r="G650" s="9">
        <f t="shared" si="7"/>
        <v>9</v>
      </c>
      <c r="H650" s="7" t="str">
        <f t="shared" si="8"/>
        <v>Aug</v>
      </c>
      <c r="I650" s="7">
        <f t="shared" si="9"/>
        <v>8</v>
      </c>
    </row>
    <row r="651">
      <c r="A651" s="6">
        <f t="shared" si="1"/>
        <v>45852</v>
      </c>
      <c r="B651" s="7" t="str">
        <f t="shared" si="2"/>
        <v>Chair</v>
      </c>
      <c r="C651" s="7" t="str">
        <f t="shared" si="3"/>
        <v>Furniture</v>
      </c>
      <c r="D651" s="7" t="str">
        <f t="shared" si="4"/>
        <v>South</v>
      </c>
      <c r="E651" s="8">
        <f t="shared" si="5"/>
        <v>404</v>
      </c>
      <c r="F651" s="8">
        <f t="shared" si="6"/>
        <v>56.56</v>
      </c>
      <c r="G651" s="9">
        <f t="shared" si="7"/>
        <v>5</v>
      </c>
      <c r="H651" s="7" t="str">
        <f t="shared" si="8"/>
        <v>Jul</v>
      </c>
      <c r="I651" s="7">
        <f t="shared" si="9"/>
        <v>7</v>
      </c>
    </row>
    <row r="652">
      <c r="A652" s="6">
        <f t="shared" si="1"/>
        <v>45808</v>
      </c>
      <c r="B652" s="7" t="str">
        <f t="shared" si="2"/>
        <v>Tablet</v>
      </c>
      <c r="C652" s="7" t="str">
        <f t="shared" si="3"/>
        <v>Electronics</v>
      </c>
      <c r="D652" s="7" t="str">
        <f t="shared" si="4"/>
        <v>South</v>
      </c>
      <c r="E652" s="8">
        <f t="shared" si="5"/>
        <v>668</v>
      </c>
      <c r="F652" s="8">
        <f t="shared" si="6"/>
        <v>133.6</v>
      </c>
      <c r="G652" s="9">
        <f t="shared" si="7"/>
        <v>7</v>
      </c>
      <c r="H652" s="7" t="str">
        <f t="shared" si="8"/>
        <v>May</v>
      </c>
      <c r="I652" s="7">
        <f t="shared" si="9"/>
        <v>5</v>
      </c>
    </row>
    <row r="653">
      <c r="A653" s="6">
        <f t="shared" si="1"/>
        <v>45772</v>
      </c>
      <c r="B653" s="7" t="str">
        <f t="shared" si="2"/>
        <v>Table</v>
      </c>
      <c r="C653" s="7" t="str">
        <f t="shared" si="3"/>
        <v>Furniture</v>
      </c>
      <c r="D653" s="7" t="str">
        <f t="shared" si="4"/>
        <v>North</v>
      </c>
      <c r="E653" s="8">
        <f t="shared" si="5"/>
        <v>1290</v>
      </c>
      <c r="F653" s="8">
        <f t="shared" si="6"/>
        <v>245.1</v>
      </c>
      <c r="G653" s="9">
        <f t="shared" si="7"/>
        <v>10</v>
      </c>
      <c r="H653" s="7" t="str">
        <f t="shared" si="8"/>
        <v>Apr</v>
      </c>
      <c r="I653" s="7">
        <f t="shared" si="9"/>
        <v>4</v>
      </c>
    </row>
    <row r="654">
      <c r="A654" s="6">
        <f t="shared" si="1"/>
        <v>45752</v>
      </c>
      <c r="B654" s="7" t="str">
        <f t="shared" si="2"/>
        <v>Chair</v>
      </c>
      <c r="C654" s="7" t="str">
        <f t="shared" si="3"/>
        <v>Furniture</v>
      </c>
      <c r="D654" s="7" t="str">
        <f t="shared" si="4"/>
        <v>North</v>
      </c>
      <c r="E654" s="8">
        <f t="shared" si="5"/>
        <v>235</v>
      </c>
      <c r="F654" s="8">
        <f t="shared" si="6"/>
        <v>32.9</v>
      </c>
      <c r="G654" s="9">
        <f t="shared" si="7"/>
        <v>9</v>
      </c>
      <c r="H654" s="7" t="str">
        <f t="shared" si="8"/>
        <v>Apr</v>
      </c>
      <c r="I654" s="7">
        <f t="shared" si="9"/>
        <v>4</v>
      </c>
    </row>
    <row r="655">
      <c r="A655" s="6">
        <f t="shared" si="1"/>
        <v>45748</v>
      </c>
      <c r="B655" s="7" t="str">
        <f t="shared" si="2"/>
        <v>Chair</v>
      </c>
      <c r="C655" s="7" t="str">
        <f t="shared" si="3"/>
        <v>Furniture</v>
      </c>
      <c r="D655" s="7" t="str">
        <f t="shared" si="4"/>
        <v>South</v>
      </c>
      <c r="E655" s="8">
        <f t="shared" si="5"/>
        <v>1534</v>
      </c>
      <c r="F655" s="8">
        <f t="shared" si="6"/>
        <v>153.4</v>
      </c>
      <c r="G655" s="9">
        <f t="shared" si="7"/>
        <v>2</v>
      </c>
      <c r="H655" s="7" t="str">
        <f t="shared" si="8"/>
        <v>Apr</v>
      </c>
      <c r="I655" s="7">
        <f t="shared" si="9"/>
        <v>4</v>
      </c>
    </row>
    <row r="656">
      <c r="A656" s="6">
        <f t="shared" si="1"/>
        <v>45986</v>
      </c>
      <c r="B656" s="7" t="str">
        <f t="shared" si="2"/>
        <v>Laptop</v>
      </c>
      <c r="C656" s="7" t="str">
        <f t="shared" si="3"/>
        <v>Electronics</v>
      </c>
      <c r="D656" s="7" t="str">
        <f t="shared" si="4"/>
        <v>West</v>
      </c>
      <c r="E656" s="8">
        <f t="shared" si="5"/>
        <v>1254</v>
      </c>
      <c r="F656" s="8">
        <f t="shared" si="6"/>
        <v>150.48</v>
      </c>
      <c r="G656" s="9">
        <f t="shared" si="7"/>
        <v>4</v>
      </c>
      <c r="H656" s="7" t="str">
        <f t="shared" si="8"/>
        <v>Nov</v>
      </c>
      <c r="I656" s="7">
        <f t="shared" si="9"/>
        <v>11</v>
      </c>
    </row>
    <row r="657">
      <c r="A657" s="6">
        <f t="shared" si="1"/>
        <v>45924</v>
      </c>
      <c r="B657" s="7" t="str">
        <f t="shared" si="2"/>
        <v>Monitor</v>
      </c>
      <c r="C657" s="7" t="str">
        <f t="shared" si="3"/>
        <v>Electronics</v>
      </c>
      <c r="D657" s="7" t="str">
        <f t="shared" si="4"/>
        <v>East</v>
      </c>
      <c r="E657" s="8">
        <f t="shared" si="5"/>
        <v>368</v>
      </c>
      <c r="F657" s="8">
        <f t="shared" si="6"/>
        <v>99.36</v>
      </c>
      <c r="G657" s="9">
        <f t="shared" si="7"/>
        <v>9</v>
      </c>
      <c r="H657" s="7" t="str">
        <f t="shared" si="8"/>
        <v>Sep</v>
      </c>
      <c r="I657" s="7">
        <f t="shared" si="9"/>
        <v>9</v>
      </c>
    </row>
    <row r="658">
      <c r="A658" s="6">
        <f t="shared" si="1"/>
        <v>45767</v>
      </c>
      <c r="B658" s="7" t="str">
        <f t="shared" si="2"/>
        <v>Monitor</v>
      </c>
      <c r="C658" s="7" t="str">
        <f t="shared" si="3"/>
        <v>Electronics</v>
      </c>
      <c r="D658" s="7" t="str">
        <f t="shared" si="4"/>
        <v>South</v>
      </c>
      <c r="E658" s="8">
        <f t="shared" si="5"/>
        <v>1909</v>
      </c>
      <c r="F658" s="8">
        <f t="shared" si="6"/>
        <v>229.08</v>
      </c>
      <c r="G658" s="9">
        <f t="shared" si="7"/>
        <v>1</v>
      </c>
      <c r="H658" s="7" t="str">
        <f t="shared" si="8"/>
        <v>Apr</v>
      </c>
      <c r="I658" s="7">
        <f t="shared" si="9"/>
        <v>4</v>
      </c>
    </row>
    <row r="659">
      <c r="A659" s="6">
        <f t="shared" si="1"/>
        <v>45983</v>
      </c>
      <c r="B659" s="7" t="str">
        <f t="shared" si="2"/>
        <v>Table</v>
      </c>
      <c r="C659" s="7" t="str">
        <f t="shared" si="3"/>
        <v>Furniture</v>
      </c>
      <c r="D659" s="7" t="str">
        <f t="shared" si="4"/>
        <v>North</v>
      </c>
      <c r="E659" s="8">
        <f t="shared" si="5"/>
        <v>213</v>
      </c>
      <c r="F659" s="8">
        <f t="shared" si="6"/>
        <v>48.99</v>
      </c>
      <c r="G659" s="9">
        <f t="shared" si="7"/>
        <v>2</v>
      </c>
      <c r="H659" s="7" t="str">
        <f t="shared" si="8"/>
        <v>Nov</v>
      </c>
      <c r="I659" s="7">
        <f t="shared" si="9"/>
        <v>11</v>
      </c>
    </row>
    <row r="660">
      <c r="A660" s="6">
        <f t="shared" si="1"/>
        <v>45812</v>
      </c>
      <c r="B660" s="7" t="str">
        <f t="shared" si="2"/>
        <v>Chair</v>
      </c>
      <c r="C660" s="7" t="str">
        <f t="shared" si="3"/>
        <v>Furniture</v>
      </c>
      <c r="D660" s="7" t="str">
        <f t="shared" si="4"/>
        <v>North</v>
      </c>
      <c r="E660" s="8">
        <f t="shared" si="5"/>
        <v>474</v>
      </c>
      <c r="F660" s="8">
        <f t="shared" si="6"/>
        <v>123.24</v>
      </c>
      <c r="G660" s="9">
        <f t="shared" si="7"/>
        <v>2</v>
      </c>
      <c r="H660" s="7" t="str">
        <f t="shared" si="8"/>
        <v>Jun</v>
      </c>
      <c r="I660" s="7">
        <f t="shared" si="9"/>
        <v>6</v>
      </c>
    </row>
    <row r="661">
      <c r="A661" s="6">
        <f t="shared" si="1"/>
        <v>45960</v>
      </c>
      <c r="B661" s="7" t="str">
        <f t="shared" si="2"/>
        <v>Table</v>
      </c>
      <c r="C661" s="7" t="str">
        <f t="shared" si="3"/>
        <v>Furniture</v>
      </c>
      <c r="D661" s="7" t="str">
        <f t="shared" si="4"/>
        <v>North</v>
      </c>
      <c r="E661" s="8">
        <f t="shared" si="5"/>
        <v>1928</v>
      </c>
      <c r="F661" s="8">
        <f t="shared" si="6"/>
        <v>404.88</v>
      </c>
      <c r="G661" s="9">
        <f t="shared" si="7"/>
        <v>5</v>
      </c>
      <c r="H661" s="7" t="str">
        <f t="shared" si="8"/>
        <v>Oct</v>
      </c>
      <c r="I661" s="7">
        <f t="shared" si="9"/>
        <v>10</v>
      </c>
    </row>
    <row r="662">
      <c r="A662" s="6">
        <f t="shared" si="1"/>
        <v>45749</v>
      </c>
      <c r="B662" s="7" t="str">
        <f t="shared" si="2"/>
        <v>Laptop</v>
      </c>
      <c r="C662" s="7" t="str">
        <f t="shared" si="3"/>
        <v>Electronics</v>
      </c>
      <c r="D662" s="7" t="str">
        <f t="shared" si="4"/>
        <v>South</v>
      </c>
      <c r="E662" s="8">
        <f t="shared" si="5"/>
        <v>807</v>
      </c>
      <c r="F662" s="8">
        <f t="shared" si="6"/>
        <v>234.03</v>
      </c>
      <c r="G662" s="9">
        <f t="shared" si="7"/>
        <v>10</v>
      </c>
      <c r="H662" s="7" t="str">
        <f t="shared" si="8"/>
        <v>Apr</v>
      </c>
      <c r="I662" s="7">
        <f t="shared" si="9"/>
        <v>4</v>
      </c>
    </row>
    <row r="663">
      <c r="A663" s="6">
        <f t="shared" si="1"/>
        <v>45677</v>
      </c>
      <c r="B663" s="7" t="str">
        <f t="shared" si="2"/>
        <v>Phone</v>
      </c>
      <c r="C663" s="7" t="str">
        <f t="shared" si="3"/>
        <v>Electronics</v>
      </c>
      <c r="D663" s="7" t="str">
        <f t="shared" si="4"/>
        <v>East</v>
      </c>
      <c r="E663" s="8">
        <f t="shared" si="5"/>
        <v>276</v>
      </c>
      <c r="F663" s="8">
        <f t="shared" si="6"/>
        <v>77.28</v>
      </c>
      <c r="G663" s="9">
        <f t="shared" si="7"/>
        <v>3</v>
      </c>
      <c r="H663" s="7" t="str">
        <f t="shared" si="8"/>
        <v>Jan</v>
      </c>
      <c r="I663" s="7">
        <f t="shared" si="9"/>
        <v>1</v>
      </c>
    </row>
    <row r="664">
      <c r="A664" s="6">
        <f t="shared" si="1"/>
        <v>45939</v>
      </c>
      <c r="B664" s="7" t="str">
        <f t="shared" si="2"/>
        <v>Monitor</v>
      </c>
      <c r="C664" s="7" t="str">
        <f t="shared" si="3"/>
        <v>Electronics</v>
      </c>
      <c r="D664" s="7" t="str">
        <f t="shared" si="4"/>
        <v>North</v>
      </c>
      <c r="E664" s="8">
        <f t="shared" si="5"/>
        <v>1036</v>
      </c>
      <c r="F664" s="8">
        <f t="shared" si="6"/>
        <v>207.2</v>
      </c>
      <c r="G664" s="9">
        <f t="shared" si="7"/>
        <v>4</v>
      </c>
      <c r="H664" s="7" t="str">
        <f t="shared" si="8"/>
        <v>Oct</v>
      </c>
      <c r="I664" s="7">
        <f t="shared" si="9"/>
        <v>10</v>
      </c>
    </row>
    <row r="665">
      <c r="A665" s="6">
        <f t="shared" si="1"/>
        <v>46013</v>
      </c>
      <c r="B665" s="7" t="str">
        <f t="shared" si="2"/>
        <v>Monitor</v>
      </c>
      <c r="C665" s="7" t="str">
        <f t="shared" si="3"/>
        <v>Electronics</v>
      </c>
      <c r="D665" s="7" t="str">
        <f t="shared" si="4"/>
        <v>East</v>
      </c>
      <c r="E665" s="8">
        <f t="shared" si="5"/>
        <v>599</v>
      </c>
      <c r="F665" s="8">
        <f t="shared" si="6"/>
        <v>167.72</v>
      </c>
      <c r="G665" s="9">
        <f t="shared" si="7"/>
        <v>7</v>
      </c>
      <c r="H665" s="7" t="str">
        <f t="shared" si="8"/>
        <v>Dec</v>
      </c>
      <c r="I665" s="7">
        <f t="shared" si="9"/>
        <v>12</v>
      </c>
    </row>
    <row r="666">
      <c r="A666" s="6">
        <f t="shared" si="1"/>
        <v>45922</v>
      </c>
      <c r="B666" s="7" t="str">
        <f t="shared" si="2"/>
        <v>Phone</v>
      </c>
      <c r="C666" s="7" t="str">
        <f t="shared" si="3"/>
        <v>Electronics</v>
      </c>
      <c r="D666" s="7" t="str">
        <f t="shared" si="4"/>
        <v>West</v>
      </c>
      <c r="E666" s="8">
        <f t="shared" si="5"/>
        <v>870</v>
      </c>
      <c r="F666" s="8">
        <f t="shared" si="6"/>
        <v>174</v>
      </c>
      <c r="G666" s="9">
        <f t="shared" si="7"/>
        <v>4</v>
      </c>
      <c r="H666" s="7" t="str">
        <f t="shared" si="8"/>
        <v>Sep</v>
      </c>
      <c r="I666" s="7">
        <f t="shared" si="9"/>
        <v>9</v>
      </c>
    </row>
    <row r="667">
      <c r="A667" s="6">
        <f t="shared" si="1"/>
        <v>45824</v>
      </c>
      <c r="B667" s="7" t="str">
        <f t="shared" si="2"/>
        <v>Chair</v>
      </c>
      <c r="C667" s="7" t="str">
        <f t="shared" si="3"/>
        <v>Furniture</v>
      </c>
      <c r="D667" s="7" t="str">
        <f t="shared" si="4"/>
        <v>West</v>
      </c>
      <c r="E667" s="8">
        <f t="shared" si="5"/>
        <v>802</v>
      </c>
      <c r="F667" s="8">
        <f t="shared" si="6"/>
        <v>232.58</v>
      </c>
      <c r="G667" s="9">
        <f t="shared" si="7"/>
        <v>5</v>
      </c>
      <c r="H667" s="7" t="str">
        <f t="shared" si="8"/>
        <v>Jun</v>
      </c>
      <c r="I667" s="7">
        <f t="shared" si="9"/>
        <v>6</v>
      </c>
    </row>
    <row r="668">
      <c r="A668" s="6">
        <f t="shared" si="1"/>
        <v>45752</v>
      </c>
      <c r="B668" s="7" t="str">
        <f t="shared" si="2"/>
        <v>Chair</v>
      </c>
      <c r="C668" s="7" t="str">
        <f t="shared" si="3"/>
        <v>Furniture</v>
      </c>
      <c r="D668" s="7" t="str">
        <f t="shared" si="4"/>
        <v>West</v>
      </c>
      <c r="E668" s="8">
        <f t="shared" si="5"/>
        <v>260</v>
      </c>
      <c r="F668" s="8">
        <f t="shared" si="6"/>
        <v>57.2</v>
      </c>
      <c r="G668" s="9">
        <f t="shared" si="7"/>
        <v>8</v>
      </c>
      <c r="H668" s="7" t="str">
        <f t="shared" si="8"/>
        <v>Apr</v>
      </c>
      <c r="I668" s="7">
        <f t="shared" si="9"/>
        <v>4</v>
      </c>
    </row>
    <row r="669">
      <c r="A669" s="6">
        <f t="shared" si="1"/>
        <v>45718</v>
      </c>
      <c r="B669" s="7" t="str">
        <f t="shared" si="2"/>
        <v>Laptop</v>
      </c>
      <c r="C669" s="7" t="str">
        <f t="shared" si="3"/>
        <v>Electronics</v>
      </c>
      <c r="D669" s="7" t="str">
        <f t="shared" si="4"/>
        <v>West</v>
      </c>
      <c r="E669" s="8">
        <f t="shared" si="5"/>
        <v>321</v>
      </c>
      <c r="F669" s="8">
        <f t="shared" si="6"/>
        <v>86.67</v>
      </c>
      <c r="G669" s="9">
        <f t="shared" si="7"/>
        <v>2</v>
      </c>
      <c r="H669" s="7" t="str">
        <f t="shared" si="8"/>
        <v>Mar</v>
      </c>
      <c r="I669" s="7">
        <f t="shared" si="9"/>
        <v>3</v>
      </c>
    </row>
    <row r="670">
      <c r="A670" s="6">
        <f t="shared" si="1"/>
        <v>45910</v>
      </c>
      <c r="B670" s="7" t="str">
        <f t="shared" si="2"/>
        <v>Table</v>
      </c>
      <c r="C670" s="7" t="str">
        <f t="shared" si="3"/>
        <v>Furniture</v>
      </c>
      <c r="D670" s="7" t="str">
        <f t="shared" si="4"/>
        <v>North</v>
      </c>
      <c r="E670" s="8">
        <f t="shared" si="5"/>
        <v>1166</v>
      </c>
      <c r="F670" s="8">
        <f t="shared" si="6"/>
        <v>349.8</v>
      </c>
      <c r="G670" s="9">
        <f t="shared" si="7"/>
        <v>2</v>
      </c>
      <c r="H670" s="7" t="str">
        <f t="shared" si="8"/>
        <v>Sep</v>
      </c>
      <c r="I670" s="7">
        <f t="shared" si="9"/>
        <v>9</v>
      </c>
    </row>
    <row r="671">
      <c r="A671" s="6">
        <f t="shared" si="1"/>
        <v>45834</v>
      </c>
      <c r="B671" s="7" t="str">
        <f t="shared" si="2"/>
        <v>Tablet</v>
      </c>
      <c r="C671" s="7" t="str">
        <f t="shared" si="3"/>
        <v>Electronics</v>
      </c>
      <c r="D671" s="7" t="str">
        <f t="shared" si="4"/>
        <v>North</v>
      </c>
      <c r="E671" s="8">
        <f t="shared" si="5"/>
        <v>1090</v>
      </c>
      <c r="F671" s="8">
        <f t="shared" si="6"/>
        <v>207.1</v>
      </c>
      <c r="G671" s="9">
        <f t="shared" si="7"/>
        <v>7</v>
      </c>
      <c r="H671" s="7" t="str">
        <f t="shared" si="8"/>
        <v>Jun</v>
      </c>
      <c r="I671" s="7">
        <f t="shared" si="9"/>
        <v>6</v>
      </c>
    </row>
    <row r="672">
      <c r="A672" s="6">
        <f t="shared" si="1"/>
        <v>46022</v>
      </c>
      <c r="B672" s="7" t="str">
        <f t="shared" si="2"/>
        <v>Tablet</v>
      </c>
      <c r="C672" s="7" t="str">
        <f t="shared" si="3"/>
        <v>Electronics</v>
      </c>
      <c r="D672" s="7" t="str">
        <f t="shared" si="4"/>
        <v>South</v>
      </c>
      <c r="E672" s="8">
        <f t="shared" si="5"/>
        <v>286</v>
      </c>
      <c r="F672" s="8">
        <f t="shared" si="6"/>
        <v>80.08</v>
      </c>
      <c r="G672" s="9">
        <f t="shared" si="7"/>
        <v>2</v>
      </c>
      <c r="H672" s="7" t="str">
        <f t="shared" si="8"/>
        <v>Dec</v>
      </c>
      <c r="I672" s="7">
        <f t="shared" si="9"/>
        <v>12</v>
      </c>
    </row>
    <row r="673">
      <c r="A673" s="6">
        <f t="shared" si="1"/>
        <v>45962</v>
      </c>
      <c r="B673" s="7" t="str">
        <f t="shared" si="2"/>
        <v>Laptop</v>
      </c>
      <c r="C673" s="7" t="str">
        <f t="shared" si="3"/>
        <v>Electronics</v>
      </c>
      <c r="D673" s="7" t="str">
        <f t="shared" si="4"/>
        <v>North</v>
      </c>
      <c r="E673" s="8">
        <f t="shared" si="5"/>
        <v>551</v>
      </c>
      <c r="F673" s="8">
        <f t="shared" si="6"/>
        <v>126.73</v>
      </c>
      <c r="G673" s="9">
        <f t="shared" si="7"/>
        <v>1</v>
      </c>
      <c r="H673" s="7" t="str">
        <f t="shared" si="8"/>
        <v>Nov</v>
      </c>
      <c r="I673" s="7">
        <f t="shared" si="9"/>
        <v>11</v>
      </c>
    </row>
    <row r="674">
      <c r="A674" s="6">
        <f t="shared" si="1"/>
        <v>46020</v>
      </c>
      <c r="B674" s="7" t="str">
        <f t="shared" si="2"/>
        <v>Monitor</v>
      </c>
      <c r="C674" s="7" t="str">
        <f t="shared" si="3"/>
        <v>Electronics</v>
      </c>
      <c r="D674" s="7" t="str">
        <f t="shared" si="4"/>
        <v>North</v>
      </c>
      <c r="E674" s="8">
        <f t="shared" si="5"/>
        <v>1728</v>
      </c>
      <c r="F674" s="8">
        <f t="shared" si="6"/>
        <v>362.88</v>
      </c>
      <c r="G674" s="9">
        <f t="shared" si="7"/>
        <v>9</v>
      </c>
      <c r="H674" s="7" t="str">
        <f t="shared" si="8"/>
        <v>Dec</v>
      </c>
      <c r="I674" s="7">
        <f t="shared" si="9"/>
        <v>12</v>
      </c>
    </row>
    <row r="675">
      <c r="A675" s="6">
        <f t="shared" si="1"/>
        <v>45942</v>
      </c>
      <c r="B675" s="7" t="str">
        <f t="shared" si="2"/>
        <v>Chair</v>
      </c>
      <c r="C675" s="7" t="str">
        <f t="shared" si="3"/>
        <v>Furniture</v>
      </c>
      <c r="D675" s="7" t="str">
        <f t="shared" si="4"/>
        <v>East</v>
      </c>
      <c r="E675" s="8">
        <f t="shared" si="5"/>
        <v>1399</v>
      </c>
      <c r="F675" s="8">
        <f t="shared" si="6"/>
        <v>279.8</v>
      </c>
      <c r="G675" s="9">
        <f t="shared" si="7"/>
        <v>10</v>
      </c>
      <c r="H675" s="7" t="str">
        <f t="shared" si="8"/>
        <v>Oct</v>
      </c>
      <c r="I675" s="7">
        <f t="shared" si="9"/>
        <v>10</v>
      </c>
    </row>
    <row r="676">
      <c r="A676" s="6">
        <f t="shared" si="1"/>
        <v>45763</v>
      </c>
      <c r="B676" s="7" t="str">
        <f t="shared" si="2"/>
        <v>Phone</v>
      </c>
      <c r="C676" s="7" t="str">
        <f t="shared" si="3"/>
        <v>Electronics</v>
      </c>
      <c r="D676" s="7" t="str">
        <f t="shared" si="4"/>
        <v>West</v>
      </c>
      <c r="E676" s="8">
        <f t="shared" si="5"/>
        <v>803</v>
      </c>
      <c r="F676" s="8">
        <f t="shared" si="6"/>
        <v>168.63</v>
      </c>
      <c r="G676" s="9">
        <f t="shared" si="7"/>
        <v>4</v>
      </c>
      <c r="H676" s="7" t="str">
        <f t="shared" si="8"/>
        <v>Apr</v>
      </c>
      <c r="I676" s="7">
        <f t="shared" si="9"/>
        <v>4</v>
      </c>
    </row>
    <row r="677">
      <c r="A677" s="6">
        <f t="shared" si="1"/>
        <v>45849</v>
      </c>
      <c r="B677" s="7" t="str">
        <f t="shared" si="2"/>
        <v>Tablet</v>
      </c>
      <c r="C677" s="7" t="str">
        <f t="shared" si="3"/>
        <v>Electronics</v>
      </c>
      <c r="D677" s="7" t="str">
        <f t="shared" si="4"/>
        <v>East</v>
      </c>
      <c r="E677" s="8">
        <f t="shared" si="5"/>
        <v>673</v>
      </c>
      <c r="F677" s="8">
        <f t="shared" si="6"/>
        <v>181.71</v>
      </c>
      <c r="G677" s="9">
        <f t="shared" si="7"/>
        <v>4</v>
      </c>
      <c r="H677" s="7" t="str">
        <f t="shared" si="8"/>
        <v>Jul</v>
      </c>
      <c r="I677" s="7">
        <f t="shared" si="9"/>
        <v>7</v>
      </c>
    </row>
    <row r="678">
      <c r="A678" s="6">
        <f t="shared" si="1"/>
        <v>45718</v>
      </c>
      <c r="B678" s="7" t="str">
        <f t="shared" si="2"/>
        <v>Chair</v>
      </c>
      <c r="C678" s="7" t="str">
        <f t="shared" si="3"/>
        <v>Furniture</v>
      </c>
      <c r="D678" s="7" t="str">
        <f t="shared" si="4"/>
        <v>East</v>
      </c>
      <c r="E678" s="8">
        <f t="shared" si="5"/>
        <v>986</v>
      </c>
      <c r="F678" s="8">
        <f t="shared" si="6"/>
        <v>167.62</v>
      </c>
      <c r="G678" s="9">
        <f t="shared" si="7"/>
        <v>10</v>
      </c>
      <c r="H678" s="7" t="str">
        <f t="shared" si="8"/>
        <v>Mar</v>
      </c>
      <c r="I678" s="7">
        <f t="shared" si="9"/>
        <v>3</v>
      </c>
    </row>
    <row r="679">
      <c r="A679" s="6">
        <f t="shared" si="1"/>
        <v>45923</v>
      </c>
      <c r="B679" s="7" t="str">
        <f t="shared" si="2"/>
        <v>Monitor</v>
      </c>
      <c r="C679" s="7" t="str">
        <f t="shared" si="3"/>
        <v>Electronics</v>
      </c>
      <c r="D679" s="7" t="str">
        <f t="shared" si="4"/>
        <v>South</v>
      </c>
      <c r="E679" s="8">
        <f t="shared" si="5"/>
        <v>997</v>
      </c>
      <c r="F679" s="8">
        <f t="shared" si="6"/>
        <v>189.43</v>
      </c>
      <c r="G679" s="9">
        <f t="shared" si="7"/>
        <v>5</v>
      </c>
      <c r="H679" s="7" t="str">
        <f t="shared" si="8"/>
        <v>Sep</v>
      </c>
      <c r="I679" s="7">
        <f t="shared" si="9"/>
        <v>9</v>
      </c>
    </row>
    <row r="680">
      <c r="A680" s="6">
        <f t="shared" si="1"/>
        <v>45661</v>
      </c>
      <c r="B680" s="7" t="str">
        <f t="shared" si="2"/>
        <v>Laptop</v>
      </c>
      <c r="C680" s="7" t="str">
        <f t="shared" si="3"/>
        <v>Electronics</v>
      </c>
      <c r="D680" s="7" t="str">
        <f t="shared" si="4"/>
        <v>East</v>
      </c>
      <c r="E680" s="8">
        <f t="shared" si="5"/>
        <v>910</v>
      </c>
      <c r="F680" s="8">
        <f t="shared" si="6"/>
        <v>263.9</v>
      </c>
      <c r="G680" s="9">
        <f t="shared" si="7"/>
        <v>10</v>
      </c>
      <c r="H680" s="7" t="str">
        <f t="shared" si="8"/>
        <v>Jan</v>
      </c>
      <c r="I680" s="7">
        <f t="shared" si="9"/>
        <v>1</v>
      </c>
    </row>
    <row r="681">
      <c r="A681" s="6">
        <f t="shared" si="1"/>
        <v>45751</v>
      </c>
      <c r="B681" s="7" t="str">
        <f t="shared" si="2"/>
        <v>Phone</v>
      </c>
      <c r="C681" s="7" t="str">
        <f t="shared" si="3"/>
        <v>Electronics</v>
      </c>
      <c r="D681" s="7" t="str">
        <f t="shared" si="4"/>
        <v>West</v>
      </c>
      <c r="E681" s="8">
        <f t="shared" si="5"/>
        <v>1471</v>
      </c>
      <c r="F681" s="8">
        <f t="shared" si="6"/>
        <v>191.23</v>
      </c>
      <c r="G681" s="9">
        <f t="shared" si="7"/>
        <v>2</v>
      </c>
      <c r="H681" s="7" t="str">
        <f t="shared" si="8"/>
        <v>Apr</v>
      </c>
      <c r="I681" s="7">
        <f t="shared" si="9"/>
        <v>4</v>
      </c>
    </row>
    <row r="682">
      <c r="A682" s="6">
        <f t="shared" si="1"/>
        <v>45832</v>
      </c>
      <c r="B682" s="7" t="str">
        <f t="shared" si="2"/>
        <v>Tablet</v>
      </c>
      <c r="C682" s="7" t="str">
        <f t="shared" si="3"/>
        <v>Electronics</v>
      </c>
      <c r="D682" s="7" t="str">
        <f t="shared" si="4"/>
        <v>East</v>
      </c>
      <c r="E682" s="8">
        <f t="shared" si="5"/>
        <v>1686</v>
      </c>
      <c r="F682" s="8">
        <f t="shared" si="6"/>
        <v>269.76</v>
      </c>
      <c r="G682" s="9">
        <f t="shared" si="7"/>
        <v>9</v>
      </c>
      <c r="H682" s="7" t="str">
        <f t="shared" si="8"/>
        <v>Jun</v>
      </c>
      <c r="I682" s="7">
        <f t="shared" si="9"/>
        <v>6</v>
      </c>
    </row>
    <row r="683">
      <c r="A683" s="6">
        <f t="shared" si="1"/>
        <v>45686</v>
      </c>
      <c r="B683" s="7" t="str">
        <f t="shared" si="2"/>
        <v>Tablet</v>
      </c>
      <c r="C683" s="7" t="str">
        <f t="shared" si="3"/>
        <v>Electronics</v>
      </c>
      <c r="D683" s="7" t="str">
        <f t="shared" si="4"/>
        <v>West</v>
      </c>
      <c r="E683" s="8">
        <f t="shared" si="5"/>
        <v>1286</v>
      </c>
      <c r="F683" s="8">
        <f t="shared" si="6"/>
        <v>244.34</v>
      </c>
      <c r="G683" s="9">
        <f t="shared" si="7"/>
        <v>6</v>
      </c>
      <c r="H683" s="7" t="str">
        <f t="shared" si="8"/>
        <v>Jan</v>
      </c>
      <c r="I683" s="7">
        <f t="shared" si="9"/>
        <v>1</v>
      </c>
    </row>
    <row r="684">
      <c r="A684" s="6">
        <f t="shared" si="1"/>
        <v>45711</v>
      </c>
      <c r="B684" s="7" t="str">
        <f t="shared" si="2"/>
        <v>Monitor</v>
      </c>
      <c r="C684" s="7" t="str">
        <f t="shared" si="3"/>
        <v>Electronics</v>
      </c>
      <c r="D684" s="7" t="str">
        <f t="shared" si="4"/>
        <v>North</v>
      </c>
      <c r="E684" s="8">
        <f t="shared" si="5"/>
        <v>1886</v>
      </c>
      <c r="F684" s="8">
        <f t="shared" si="6"/>
        <v>396.06</v>
      </c>
      <c r="G684" s="9">
        <f t="shared" si="7"/>
        <v>9</v>
      </c>
      <c r="H684" s="7" t="str">
        <f t="shared" si="8"/>
        <v>Feb</v>
      </c>
      <c r="I684" s="7">
        <f t="shared" si="9"/>
        <v>2</v>
      </c>
    </row>
    <row r="685">
      <c r="A685" s="6">
        <f t="shared" si="1"/>
        <v>45960</v>
      </c>
      <c r="B685" s="7" t="str">
        <f t="shared" si="2"/>
        <v>Chair</v>
      </c>
      <c r="C685" s="7" t="str">
        <f t="shared" si="3"/>
        <v>Furniture</v>
      </c>
      <c r="D685" s="7" t="str">
        <f t="shared" si="4"/>
        <v>South</v>
      </c>
      <c r="E685" s="8">
        <f t="shared" si="5"/>
        <v>331</v>
      </c>
      <c r="F685" s="8">
        <f t="shared" si="6"/>
        <v>33.1</v>
      </c>
      <c r="G685" s="9">
        <f t="shared" si="7"/>
        <v>10</v>
      </c>
      <c r="H685" s="7" t="str">
        <f t="shared" si="8"/>
        <v>Oct</v>
      </c>
      <c r="I685" s="7">
        <f t="shared" si="9"/>
        <v>10</v>
      </c>
    </row>
    <row r="686">
      <c r="A686" s="6">
        <f t="shared" si="1"/>
        <v>45741</v>
      </c>
      <c r="B686" s="7" t="str">
        <f t="shared" si="2"/>
        <v>Chair</v>
      </c>
      <c r="C686" s="7" t="str">
        <f t="shared" si="3"/>
        <v>Furniture</v>
      </c>
      <c r="D686" s="7" t="str">
        <f t="shared" si="4"/>
        <v>East</v>
      </c>
      <c r="E686" s="8">
        <f t="shared" si="5"/>
        <v>1958</v>
      </c>
      <c r="F686" s="8">
        <f t="shared" si="6"/>
        <v>411.18</v>
      </c>
      <c r="G686" s="9">
        <f t="shared" si="7"/>
        <v>2</v>
      </c>
      <c r="H686" s="7" t="str">
        <f t="shared" si="8"/>
        <v>Mar</v>
      </c>
      <c r="I686" s="7">
        <f t="shared" si="9"/>
        <v>3</v>
      </c>
    </row>
    <row r="687">
      <c r="A687" s="6">
        <f t="shared" si="1"/>
        <v>45679</v>
      </c>
      <c r="B687" s="7" t="str">
        <f t="shared" si="2"/>
        <v>Phone</v>
      </c>
      <c r="C687" s="7" t="str">
        <f t="shared" si="3"/>
        <v>Electronics</v>
      </c>
      <c r="D687" s="7" t="str">
        <f t="shared" si="4"/>
        <v>West</v>
      </c>
      <c r="E687" s="8">
        <f t="shared" si="5"/>
        <v>1117</v>
      </c>
      <c r="F687" s="8">
        <f t="shared" si="6"/>
        <v>323.93</v>
      </c>
      <c r="G687" s="9">
        <f t="shared" si="7"/>
        <v>4</v>
      </c>
      <c r="H687" s="7" t="str">
        <f t="shared" si="8"/>
        <v>Jan</v>
      </c>
      <c r="I687" s="7">
        <f t="shared" si="9"/>
        <v>1</v>
      </c>
    </row>
    <row r="688">
      <c r="A688" s="6">
        <f t="shared" si="1"/>
        <v>45793</v>
      </c>
      <c r="B688" s="7" t="str">
        <f t="shared" si="2"/>
        <v>Monitor</v>
      </c>
      <c r="C688" s="7" t="str">
        <f t="shared" si="3"/>
        <v>Electronics</v>
      </c>
      <c r="D688" s="7" t="str">
        <f t="shared" si="4"/>
        <v>North</v>
      </c>
      <c r="E688" s="8">
        <f t="shared" si="5"/>
        <v>680</v>
      </c>
      <c r="F688" s="8">
        <f t="shared" si="6"/>
        <v>88.4</v>
      </c>
      <c r="G688" s="9">
        <f t="shared" si="7"/>
        <v>4</v>
      </c>
      <c r="H688" s="7" t="str">
        <f t="shared" si="8"/>
        <v>May</v>
      </c>
      <c r="I688" s="7">
        <f t="shared" si="9"/>
        <v>5</v>
      </c>
    </row>
    <row r="689">
      <c r="A689" s="6">
        <f t="shared" si="1"/>
        <v>45886</v>
      </c>
      <c r="B689" s="7" t="str">
        <f t="shared" si="2"/>
        <v>Table</v>
      </c>
      <c r="C689" s="7" t="str">
        <f t="shared" si="3"/>
        <v>Furniture</v>
      </c>
      <c r="D689" s="7" t="str">
        <f t="shared" si="4"/>
        <v>West</v>
      </c>
      <c r="E689" s="8">
        <f t="shared" si="5"/>
        <v>926</v>
      </c>
      <c r="F689" s="8">
        <f t="shared" si="6"/>
        <v>250.02</v>
      </c>
      <c r="G689" s="9">
        <f t="shared" si="7"/>
        <v>10</v>
      </c>
      <c r="H689" s="7" t="str">
        <f t="shared" si="8"/>
        <v>Aug</v>
      </c>
      <c r="I689" s="7">
        <f t="shared" si="9"/>
        <v>8</v>
      </c>
    </row>
    <row r="690">
      <c r="A690" s="6">
        <f t="shared" si="1"/>
        <v>45958</v>
      </c>
      <c r="B690" s="7" t="str">
        <f t="shared" si="2"/>
        <v>Phone</v>
      </c>
      <c r="C690" s="7" t="str">
        <f t="shared" si="3"/>
        <v>Electronics</v>
      </c>
      <c r="D690" s="7" t="str">
        <f t="shared" si="4"/>
        <v>West</v>
      </c>
      <c r="E690" s="8">
        <f t="shared" si="5"/>
        <v>1212</v>
      </c>
      <c r="F690" s="8">
        <f t="shared" si="6"/>
        <v>363.6</v>
      </c>
      <c r="G690" s="9">
        <f t="shared" si="7"/>
        <v>8</v>
      </c>
      <c r="H690" s="7" t="str">
        <f t="shared" si="8"/>
        <v>Oct</v>
      </c>
      <c r="I690" s="7">
        <f t="shared" si="9"/>
        <v>10</v>
      </c>
    </row>
    <row r="691">
      <c r="A691" s="6">
        <f t="shared" si="1"/>
        <v>45924</v>
      </c>
      <c r="B691" s="7" t="str">
        <f t="shared" si="2"/>
        <v>Tablet</v>
      </c>
      <c r="C691" s="7" t="str">
        <f t="shared" si="3"/>
        <v>Electronics</v>
      </c>
      <c r="D691" s="7" t="str">
        <f t="shared" si="4"/>
        <v>West</v>
      </c>
      <c r="E691" s="8">
        <f t="shared" si="5"/>
        <v>1162</v>
      </c>
      <c r="F691" s="8">
        <f t="shared" si="6"/>
        <v>174.3</v>
      </c>
      <c r="G691" s="9">
        <f t="shared" si="7"/>
        <v>1</v>
      </c>
      <c r="H691" s="7" t="str">
        <f t="shared" si="8"/>
        <v>Sep</v>
      </c>
      <c r="I691" s="7">
        <f t="shared" si="9"/>
        <v>9</v>
      </c>
    </row>
    <row r="692">
      <c r="A692" s="6">
        <f t="shared" si="1"/>
        <v>45828</v>
      </c>
      <c r="B692" s="7" t="str">
        <f t="shared" si="2"/>
        <v>Phone</v>
      </c>
      <c r="C692" s="7" t="str">
        <f t="shared" si="3"/>
        <v>Electronics</v>
      </c>
      <c r="D692" s="7" t="str">
        <f t="shared" si="4"/>
        <v>West</v>
      </c>
      <c r="E692" s="8">
        <f t="shared" si="5"/>
        <v>338</v>
      </c>
      <c r="F692" s="8">
        <f t="shared" si="6"/>
        <v>37.18</v>
      </c>
      <c r="G692" s="9">
        <f t="shared" si="7"/>
        <v>7</v>
      </c>
      <c r="H692" s="7" t="str">
        <f t="shared" si="8"/>
        <v>Jun</v>
      </c>
      <c r="I692" s="7">
        <f t="shared" si="9"/>
        <v>6</v>
      </c>
    </row>
    <row r="693">
      <c r="A693" s="6">
        <f t="shared" si="1"/>
        <v>45691</v>
      </c>
      <c r="B693" s="7" t="str">
        <f t="shared" si="2"/>
        <v>Table</v>
      </c>
      <c r="C693" s="7" t="str">
        <f t="shared" si="3"/>
        <v>Furniture</v>
      </c>
      <c r="D693" s="7" t="str">
        <f t="shared" si="4"/>
        <v>West</v>
      </c>
      <c r="E693" s="8">
        <f t="shared" si="5"/>
        <v>430</v>
      </c>
      <c r="F693" s="8">
        <f t="shared" si="6"/>
        <v>94.6</v>
      </c>
      <c r="G693" s="9">
        <f t="shared" si="7"/>
        <v>6</v>
      </c>
      <c r="H693" s="7" t="str">
        <f t="shared" si="8"/>
        <v>Feb</v>
      </c>
      <c r="I693" s="7">
        <f t="shared" si="9"/>
        <v>2</v>
      </c>
    </row>
    <row r="694">
      <c r="A694" s="6">
        <f t="shared" si="1"/>
        <v>45969</v>
      </c>
      <c r="B694" s="7" t="str">
        <f t="shared" si="2"/>
        <v>Tablet</v>
      </c>
      <c r="C694" s="7" t="str">
        <f t="shared" si="3"/>
        <v>Electronics</v>
      </c>
      <c r="D694" s="7" t="str">
        <f t="shared" si="4"/>
        <v>East</v>
      </c>
      <c r="E694" s="8">
        <f t="shared" si="5"/>
        <v>495</v>
      </c>
      <c r="F694" s="8">
        <f t="shared" si="6"/>
        <v>128.7</v>
      </c>
      <c r="G694" s="9">
        <f t="shared" si="7"/>
        <v>10</v>
      </c>
      <c r="H694" s="7" t="str">
        <f t="shared" si="8"/>
        <v>Nov</v>
      </c>
      <c r="I694" s="7">
        <f t="shared" si="9"/>
        <v>11</v>
      </c>
    </row>
    <row r="695">
      <c r="A695" s="6">
        <f t="shared" si="1"/>
        <v>45869</v>
      </c>
      <c r="B695" s="7" t="str">
        <f t="shared" si="2"/>
        <v>Monitor</v>
      </c>
      <c r="C695" s="7" t="str">
        <f t="shared" si="3"/>
        <v>Electronics</v>
      </c>
      <c r="D695" s="7" t="str">
        <f t="shared" si="4"/>
        <v>South</v>
      </c>
      <c r="E695" s="8">
        <f t="shared" si="5"/>
        <v>1039</v>
      </c>
      <c r="F695" s="8">
        <f t="shared" si="6"/>
        <v>290.92</v>
      </c>
      <c r="G695" s="9">
        <f t="shared" si="7"/>
        <v>1</v>
      </c>
      <c r="H695" s="7" t="str">
        <f t="shared" si="8"/>
        <v>Jul</v>
      </c>
      <c r="I695" s="7">
        <f t="shared" si="9"/>
        <v>7</v>
      </c>
    </row>
    <row r="696">
      <c r="A696" s="6">
        <f t="shared" si="1"/>
        <v>45912</v>
      </c>
      <c r="B696" s="7" t="str">
        <f t="shared" si="2"/>
        <v>Tablet</v>
      </c>
      <c r="C696" s="7" t="str">
        <f t="shared" si="3"/>
        <v>Electronics</v>
      </c>
      <c r="D696" s="7" t="str">
        <f t="shared" si="4"/>
        <v>South</v>
      </c>
      <c r="E696" s="8">
        <f t="shared" si="5"/>
        <v>1409</v>
      </c>
      <c r="F696" s="8">
        <f t="shared" si="6"/>
        <v>183.17</v>
      </c>
      <c r="G696" s="9">
        <f t="shared" si="7"/>
        <v>8</v>
      </c>
      <c r="H696" s="7" t="str">
        <f t="shared" si="8"/>
        <v>Sep</v>
      </c>
      <c r="I696" s="7">
        <f t="shared" si="9"/>
        <v>9</v>
      </c>
    </row>
    <row r="697">
      <c r="A697" s="6">
        <f t="shared" si="1"/>
        <v>45748</v>
      </c>
      <c r="B697" s="7" t="str">
        <f t="shared" si="2"/>
        <v>Phone</v>
      </c>
      <c r="C697" s="7" t="str">
        <f t="shared" si="3"/>
        <v>Electronics</v>
      </c>
      <c r="D697" s="7" t="str">
        <f t="shared" si="4"/>
        <v>West</v>
      </c>
      <c r="E697" s="8">
        <f t="shared" si="5"/>
        <v>942</v>
      </c>
      <c r="F697" s="8">
        <f t="shared" si="6"/>
        <v>282.6</v>
      </c>
      <c r="G697" s="9">
        <f t="shared" si="7"/>
        <v>5</v>
      </c>
      <c r="H697" s="7" t="str">
        <f t="shared" si="8"/>
        <v>Apr</v>
      </c>
      <c r="I697" s="7">
        <f t="shared" si="9"/>
        <v>4</v>
      </c>
    </row>
    <row r="698">
      <c r="A698" s="6">
        <f t="shared" si="1"/>
        <v>45793</v>
      </c>
      <c r="B698" s="7" t="str">
        <f t="shared" si="2"/>
        <v>Laptop</v>
      </c>
      <c r="C698" s="7" t="str">
        <f t="shared" si="3"/>
        <v>Electronics</v>
      </c>
      <c r="D698" s="7" t="str">
        <f t="shared" si="4"/>
        <v>East</v>
      </c>
      <c r="E698" s="8">
        <f t="shared" si="5"/>
        <v>384</v>
      </c>
      <c r="F698" s="8">
        <f t="shared" si="6"/>
        <v>88.32</v>
      </c>
      <c r="G698" s="9">
        <f t="shared" si="7"/>
        <v>9</v>
      </c>
      <c r="H698" s="7" t="str">
        <f t="shared" si="8"/>
        <v>May</v>
      </c>
      <c r="I698" s="7">
        <f t="shared" si="9"/>
        <v>5</v>
      </c>
    </row>
    <row r="699">
      <c r="A699" s="6">
        <f t="shared" si="1"/>
        <v>45950</v>
      </c>
      <c r="B699" s="7" t="str">
        <f t="shared" si="2"/>
        <v>Phone</v>
      </c>
      <c r="C699" s="7" t="str">
        <f t="shared" si="3"/>
        <v>Electronics</v>
      </c>
      <c r="D699" s="7" t="str">
        <f t="shared" si="4"/>
        <v>East</v>
      </c>
      <c r="E699" s="8">
        <f t="shared" si="5"/>
        <v>986</v>
      </c>
      <c r="F699" s="8">
        <f t="shared" si="6"/>
        <v>236.64</v>
      </c>
      <c r="G699" s="9">
        <f t="shared" si="7"/>
        <v>5</v>
      </c>
      <c r="H699" s="7" t="str">
        <f t="shared" si="8"/>
        <v>Oct</v>
      </c>
      <c r="I699" s="7">
        <f t="shared" si="9"/>
        <v>10</v>
      </c>
    </row>
    <row r="700">
      <c r="A700" s="6">
        <f t="shared" si="1"/>
        <v>45900</v>
      </c>
      <c r="B700" s="7" t="str">
        <f t="shared" si="2"/>
        <v>Phone</v>
      </c>
      <c r="C700" s="7" t="str">
        <f t="shared" si="3"/>
        <v>Electronics</v>
      </c>
      <c r="D700" s="7" t="str">
        <f t="shared" si="4"/>
        <v>West</v>
      </c>
      <c r="E700" s="8">
        <f t="shared" si="5"/>
        <v>994</v>
      </c>
      <c r="F700" s="8">
        <f t="shared" si="6"/>
        <v>149.1</v>
      </c>
      <c r="G700" s="9">
        <f t="shared" si="7"/>
        <v>2</v>
      </c>
      <c r="H700" s="7" t="str">
        <f t="shared" si="8"/>
        <v>Aug</v>
      </c>
      <c r="I700" s="7">
        <f t="shared" si="9"/>
        <v>8</v>
      </c>
    </row>
    <row r="701">
      <c r="A701" s="6">
        <f t="shared" si="1"/>
        <v>45798</v>
      </c>
      <c r="B701" s="7" t="str">
        <f t="shared" si="2"/>
        <v>Monitor</v>
      </c>
      <c r="C701" s="7" t="str">
        <f t="shared" si="3"/>
        <v>Electronics</v>
      </c>
      <c r="D701" s="7" t="str">
        <f t="shared" si="4"/>
        <v>East</v>
      </c>
      <c r="E701" s="8">
        <f t="shared" si="5"/>
        <v>1768</v>
      </c>
      <c r="F701" s="8">
        <f t="shared" si="6"/>
        <v>459.68</v>
      </c>
      <c r="G701" s="9">
        <f t="shared" si="7"/>
        <v>9</v>
      </c>
      <c r="H701" s="7" t="str">
        <f t="shared" si="8"/>
        <v>May</v>
      </c>
      <c r="I701" s="7">
        <f t="shared" si="9"/>
        <v>5</v>
      </c>
    </row>
    <row r="702">
      <c r="A702" s="6">
        <f t="shared" si="1"/>
        <v>45990</v>
      </c>
      <c r="B702" s="7" t="str">
        <f t="shared" si="2"/>
        <v>Laptop</v>
      </c>
      <c r="C702" s="7" t="str">
        <f t="shared" si="3"/>
        <v>Electronics</v>
      </c>
      <c r="D702" s="7" t="str">
        <f t="shared" si="4"/>
        <v>East</v>
      </c>
      <c r="E702" s="8">
        <f t="shared" si="5"/>
        <v>867</v>
      </c>
      <c r="F702" s="8">
        <f t="shared" si="6"/>
        <v>225.42</v>
      </c>
      <c r="G702" s="9">
        <f t="shared" si="7"/>
        <v>7</v>
      </c>
      <c r="H702" s="7" t="str">
        <f t="shared" si="8"/>
        <v>Nov</v>
      </c>
      <c r="I702" s="7">
        <f t="shared" si="9"/>
        <v>11</v>
      </c>
    </row>
    <row r="703">
      <c r="A703" s="6">
        <f t="shared" si="1"/>
        <v>45996</v>
      </c>
      <c r="B703" s="7" t="str">
        <f t="shared" si="2"/>
        <v>Monitor</v>
      </c>
      <c r="C703" s="7" t="str">
        <f t="shared" si="3"/>
        <v>Electronics</v>
      </c>
      <c r="D703" s="7" t="str">
        <f t="shared" si="4"/>
        <v>West</v>
      </c>
      <c r="E703" s="8">
        <f t="shared" si="5"/>
        <v>1197</v>
      </c>
      <c r="F703" s="8">
        <f t="shared" si="6"/>
        <v>191.52</v>
      </c>
      <c r="G703" s="9">
        <f t="shared" si="7"/>
        <v>9</v>
      </c>
      <c r="H703" s="7" t="str">
        <f t="shared" si="8"/>
        <v>Dec</v>
      </c>
      <c r="I703" s="7">
        <f t="shared" si="9"/>
        <v>12</v>
      </c>
    </row>
    <row r="704">
      <c r="A704" s="6">
        <f t="shared" si="1"/>
        <v>45673</v>
      </c>
      <c r="B704" s="7" t="str">
        <f t="shared" si="2"/>
        <v>Tablet</v>
      </c>
      <c r="C704" s="7" t="str">
        <f t="shared" si="3"/>
        <v>Electronics</v>
      </c>
      <c r="D704" s="7" t="str">
        <f t="shared" si="4"/>
        <v>East</v>
      </c>
      <c r="E704" s="8">
        <f t="shared" si="5"/>
        <v>976</v>
      </c>
      <c r="F704" s="8">
        <f t="shared" si="6"/>
        <v>224.48</v>
      </c>
      <c r="G704" s="9">
        <f t="shared" si="7"/>
        <v>8</v>
      </c>
      <c r="H704" s="7" t="str">
        <f t="shared" si="8"/>
        <v>Jan</v>
      </c>
      <c r="I704" s="7">
        <f t="shared" si="9"/>
        <v>1</v>
      </c>
    </row>
    <row r="705">
      <c r="A705" s="6">
        <f t="shared" si="1"/>
        <v>45798</v>
      </c>
      <c r="B705" s="7" t="str">
        <f t="shared" si="2"/>
        <v>Chair</v>
      </c>
      <c r="C705" s="7" t="str">
        <f t="shared" si="3"/>
        <v>Furniture</v>
      </c>
      <c r="D705" s="7" t="str">
        <f t="shared" si="4"/>
        <v>North</v>
      </c>
      <c r="E705" s="8">
        <f t="shared" si="5"/>
        <v>372</v>
      </c>
      <c r="F705" s="8">
        <f t="shared" si="6"/>
        <v>93</v>
      </c>
      <c r="G705" s="9">
        <f t="shared" si="7"/>
        <v>10</v>
      </c>
      <c r="H705" s="7" t="str">
        <f t="shared" si="8"/>
        <v>May</v>
      </c>
      <c r="I705" s="7">
        <f t="shared" si="9"/>
        <v>5</v>
      </c>
    </row>
    <row r="706">
      <c r="A706" s="6">
        <f t="shared" si="1"/>
        <v>45753</v>
      </c>
      <c r="B706" s="7" t="str">
        <f t="shared" si="2"/>
        <v>Chair</v>
      </c>
      <c r="C706" s="7" t="str">
        <f t="shared" si="3"/>
        <v>Furniture</v>
      </c>
      <c r="D706" s="7" t="str">
        <f t="shared" si="4"/>
        <v>South</v>
      </c>
      <c r="E706" s="8">
        <f t="shared" si="5"/>
        <v>1505</v>
      </c>
      <c r="F706" s="8">
        <f t="shared" si="6"/>
        <v>331.1</v>
      </c>
      <c r="G706" s="9">
        <f t="shared" si="7"/>
        <v>3</v>
      </c>
      <c r="H706" s="7" t="str">
        <f t="shared" si="8"/>
        <v>Apr</v>
      </c>
      <c r="I706" s="7">
        <f t="shared" si="9"/>
        <v>4</v>
      </c>
    </row>
    <row r="707">
      <c r="A707" s="6">
        <f t="shared" si="1"/>
        <v>45693</v>
      </c>
      <c r="B707" s="7" t="str">
        <f t="shared" si="2"/>
        <v>Monitor</v>
      </c>
      <c r="C707" s="7" t="str">
        <f t="shared" si="3"/>
        <v>Electronics</v>
      </c>
      <c r="D707" s="7" t="str">
        <f t="shared" si="4"/>
        <v>East</v>
      </c>
      <c r="E707" s="8">
        <f t="shared" si="5"/>
        <v>361</v>
      </c>
      <c r="F707" s="8">
        <f t="shared" si="6"/>
        <v>108.3</v>
      </c>
      <c r="G707" s="9">
        <f t="shared" si="7"/>
        <v>2</v>
      </c>
      <c r="H707" s="7" t="str">
        <f t="shared" si="8"/>
        <v>Feb</v>
      </c>
      <c r="I707" s="7">
        <f t="shared" si="9"/>
        <v>2</v>
      </c>
    </row>
    <row r="708">
      <c r="A708" s="6">
        <f t="shared" si="1"/>
        <v>45895</v>
      </c>
      <c r="B708" s="7" t="str">
        <f t="shared" si="2"/>
        <v>Monitor</v>
      </c>
      <c r="C708" s="7" t="str">
        <f t="shared" si="3"/>
        <v>Electronics</v>
      </c>
      <c r="D708" s="7" t="str">
        <f t="shared" si="4"/>
        <v>North</v>
      </c>
      <c r="E708" s="8">
        <f t="shared" si="5"/>
        <v>546</v>
      </c>
      <c r="F708" s="8">
        <f t="shared" si="6"/>
        <v>60.06</v>
      </c>
      <c r="G708" s="9">
        <f t="shared" si="7"/>
        <v>7</v>
      </c>
      <c r="H708" s="7" t="str">
        <f t="shared" si="8"/>
        <v>Aug</v>
      </c>
      <c r="I708" s="7">
        <f t="shared" si="9"/>
        <v>8</v>
      </c>
    </row>
    <row r="709">
      <c r="A709" s="6">
        <f t="shared" si="1"/>
        <v>45952</v>
      </c>
      <c r="B709" s="7" t="str">
        <f t="shared" si="2"/>
        <v>Table</v>
      </c>
      <c r="C709" s="7" t="str">
        <f t="shared" si="3"/>
        <v>Furniture</v>
      </c>
      <c r="D709" s="7" t="str">
        <f t="shared" si="4"/>
        <v>South</v>
      </c>
      <c r="E709" s="8">
        <f t="shared" si="5"/>
        <v>1116</v>
      </c>
      <c r="F709" s="8">
        <f t="shared" si="6"/>
        <v>145.08</v>
      </c>
      <c r="G709" s="9">
        <f t="shared" si="7"/>
        <v>5</v>
      </c>
      <c r="H709" s="7" t="str">
        <f t="shared" si="8"/>
        <v>Oct</v>
      </c>
      <c r="I709" s="7">
        <f t="shared" si="9"/>
        <v>10</v>
      </c>
    </row>
    <row r="710">
      <c r="A710" s="6">
        <f t="shared" si="1"/>
        <v>46021</v>
      </c>
      <c r="B710" s="7" t="str">
        <f t="shared" si="2"/>
        <v>Laptop</v>
      </c>
      <c r="C710" s="7" t="str">
        <f t="shared" si="3"/>
        <v>Electronics</v>
      </c>
      <c r="D710" s="7" t="str">
        <f t="shared" si="4"/>
        <v>East</v>
      </c>
      <c r="E710" s="8">
        <f t="shared" si="5"/>
        <v>760</v>
      </c>
      <c r="F710" s="8">
        <f t="shared" si="6"/>
        <v>144.4</v>
      </c>
      <c r="G710" s="9">
        <f t="shared" si="7"/>
        <v>7</v>
      </c>
      <c r="H710" s="7" t="str">
        <f t="shared" si="8"/>
        <v>Dec</v>
      </c>
      <c r="I710" s="7">
        <f t="shared" si="9"/>
        <v>12</v>
      </c>
    </row>
    <row r="711">
      <c r="A711" s="6">
        <f t="shared" si="1"/>
        <v>45850</v>
      </c>
      <c r="B711" s="7" t="str">
        <f t="shared" si="2"/>
        <v>Chair</v>
      </c>
      <c r="C711" s="7" t="str">
        <f t="shared" si="3"/>
        <v>Furniture</v>
      </c>
      <c r="D711" s="7" t="str">
        <f t="shared" si="4"/>
        <v>North</v>
      </c>
      <c r="E711" s="8">
        <f t="shared" si="5"/>
        <v>1560</v>
      </c>
      <c r="F711" s="8">
        <f t="shared" si="6"/>
        <v>202.8</v>
      </c>
      <c r="G711" s="9">
        <f t="shared" si="7"/>
        <v>8</v>
      </c>
      <c r="H711" s="7" t="str">
        <f t="shared" si="8"/>
        <v>Jul</v>
      </c>
      <c r="I711" s="7">
        <f t="shared" si="9"/>
        <v>7</v>
      </c>
    </row>
    <row r="712">
      <c r="A712" s="6">
        <f t="shared" si="1"/>
        <v>45896</v>
      </c>
      <c r="B712" s="7" t="str">
        <f t="shared" si="2"/>
        <v>Laptop</v>
      </c>
      <c r="C712" s="7" t="str">
        <f t="shared" si="3"/>
        <v>Electronics</v>
      </c>
      <c r="D712" s="7" t="str">
        <f t="shared" si="4"/>
        <v>South</v>
      </c>
      <c r="E712" s="8">
        <f t="shared" si="5"/>
        <v>1449</v>
      </c>
      <c r="F712" s="8">
        <f t="shared" si="6"/>
        <v>202.86</v>
      </c>
      <c r="G712" s="9">
        <f t="shared" si="7"/>
        <v>9</v>
      </c>
      <c r="H712" s="7" t="str">
        <f t="shared" si="8"/>
        <v>Aug</v>
      </c>
      <c r="I712" s="7">
        <f t="shared" si="9"/>
        <v>8</v>
      </c>
    </row>
    <row r="713">
      <c r="A713" s="6">
        <f t="shared" si="1"/>
        <v>45792</v>
      </c>
      <c r="B713" s="7" t="str">
        <f t="shared" si="2"/>
        <v>Tablet</v>
      </c>
      <c r="C713" s="7" t="str">
        <f t="shared" si="3"/>
        <v>Electronics</v>
      </c>
      <c r="D713" s="7" t="str">
        <f t="shared" si="4"/>
        <v>West</v>
      </c>
      <c r="E713" s="8">
        <f t="shared" si="5"/>
        <v>1313</v>
      </c>
      <c r="F713" s="8">
        <f t="shared" si="6"/>
        <v>275.73</v>
      </c>
      <c r="G713" s="9">
        <f t="shared" si="7"/>
        <v>3</v>
      </c>
      <c r="H713" s="7" t="str">
        <f t="shared" si="8"/>
        <v>May</v>
      </c>
      <c r="I713" s="7">
        <f t="shared" si="9"/>
        <v>5</v>
      </c>
    </row>
    <row r="714">
      <c r="A714" s="6">
        <f t="shared" si="1"/>
        <v>45896</v>
      </c>
      <c r="B714" s="7" t="str">
        <f t="shared" si="2"/>
        <v>Tablet</v>
      </c>
      <c r="C714" s="7" t="str">
        <f t="shared" si="3"/>
        <v>Electronics</v>
      </c>
      <c r="D714" s="7" t="str">
        <f t="shared" si="4"/>
        <v>West</v>
      </c>
      <c r="E714" s="8">
        <f t="shared" si="5"/>
        <v>834</v>
      </c>
      <c r="F714" s="8">
        <f t="shared" si="6"/>
        <v>250.2</v>
      </c>
      <c r="G714" s="9">
        <f t="shared" si="7"/>
        <v>8</v>
      </c>
      <c r="H714" s="7" t="str">
        <f t="shared" si="8"/>
        <v>Aug</v>
      </c>
      <c r="I714" s="7">
        <f t="shared" si="9"/>
        <v>8</v>
      </c>
    </row>
    <row r="715">
      <c r="A715" s="6">
        <f t="shared" si="1"/>
        <v>45763</v>
      </c>
      <c r="B715" s="7" t="str">
        <f t="shared" si="2"/>
        <v>Tablet</v>
      </c>
      <c r="C715" s="7" t="str">
        <f t="shared" si="3"/>
        <v>Electronics</v>
      </c>
      <c r="D715" s="7" t="str">
        <f t="shared" si="4"/>
        <v>South</v>
      </c>
      <c r="E715" s="8">
        <f t="shared" si="5"/>
        <v>823</v>
      </c>
      <c r="F715" s="8">
        <f t="shared" si="6"/>
        <v>164.6</v>
      </c>
      <c r="G715" s="9">
        <f t="shared" si="7"/>
        <v>3</v>
      </c>
      <c r="H715" s="7" t="str">
        <f t="shared" si="8"/>
        <v>Apr</v>
      </c>
      <c r="I715" s="7">
        <f t="shared" si="9"/>
        <v>4</v>
      </c>
    </row>
    <row r="716">
      <c r="A716" s="6">
        <f t="shared" si="1"/>
        <v>45805</v>
      </c>
      <c r="B716" s="7" t="str">
        <f t="shared" si="2"/>
        <v>Chair</v>
      </c>
      <c r="C716" s="7" t="str">
        <f t="shared" si="3"/>
        <v>Furniture</v>
      </c>
      <c r="D716" s="7" t="str">
        <f t="shared" si="4"/>
        <v>North</v>
      </c>
      <c r="E716" s="8">
        <f t="shared" si="5"/>
        <v>1998</v>
      </c>
      <c r="F716" s="8">
        <f t="shared" si="6"/>
        <v>379.62</v>
      </c>
      <c r="G716" s="9">
        <f t="shared" si="7"/>
        <v>5</v>
      </c>
      <c r="H716" s="7" t="str">
        <f t="shared" si="8"/>
        <v>May</v>
      </c>
      <c r="I716" s="7">
        <f t="shared" si="9"/>
        <v>5</v>
      </c>
    </row>
    <row r="717">
      <c r="A717" s="6">
        <f t="shared" si="1"/>
        <v>45729</v>
      </c>
      <c r="B717" s="7" t="str">
        <f t="shared" si="2"/>
        <v>Monitor</v>
      </c>
      <c r="C717" s="7" t="str">
        <f t="shared" si="3"/>
        <v>Electronics</v>
      </c>
      <c r="D717" s="7" t="str">
        <f t="shared" si="4"/>
        <v>South</v>
      </c>
      <c r="E717" s="8">
        <f t="shared" si="5"/>
        <v>1814</v>
      </c>
      <c r="F717" s="8">
        <f t="shared" si="6"/>
        <v>199.54</v>
      </c>
      <c r="G717" s="9">
        <f t="shared" si="7"/>
        <v>3</v>
      </c>
      <c r="H717" s="7" t="str">
        <f t="shared" si="8"/>
        <v>Mar</v>
      </c>
      <c r="I717" s="7">
        <f t="shared" si="9"/>
        <v>3</v>
      </c>
    </row>
    <row r="718">
      <c r="A718" s="6">
        <f t="shared" si="1"/>
        <v>45734</v>
      </c>
      <c r="B718" s="7" t="str">
        <f t="shared" si="2"/>
        <v>Chair</v>
      </c>
      <c r="C718" s="7" t="str">
        <f t="shared" si="3"/>
        <v>Furniture</v>
      </c>
      <c r="D718" s="7" t="str">
        <f t="shared" si="4"/>
        <v>West</v>
      </c>
      <c r="E718" s="8">
        <f t="shared" si="5"/>
        <v>759</v>
      </c>
      <c r="F718" s="8">
        <f t="shared" si="6"/>
        <v>91.08</v>
      </c>
      <c r="G718" s="9">
        <f t="shared" si="7"/>
        <v>5</v>
      </c>
      <c r="H718" s="7" t="str">
        <f t="shared" si="8"/>
        <v>Mar</v>
      </c>
      <c r="I718" s="7">
        <f t="shared" si="9"/>
        <v>3</v>
      </c>
    </row>
    <row r="719">
      <c r="A719" s="6">
        <f t="shared" si="1"/>
        <v>45681</v>
      </c>
      <c r="B719" s="7" t="str">
        <f t="shared" si="2"/>
        <v>Chair</v>
      </c>
      <c r="C719" s="7" t="str">
        <f t="shared" si="3"/>
        <v>Furniture</v>
      </c>
      <c r="D719" s="7" t="str">
        <f t="shared" si="4"/>
        <v>South</v>
      </c>
      <c r="E719" s="8">
        <f t="shared" si="5"/>
        <v>1598</v>
      </c>
      <c r="F719" s="8">
        <f t="shared" si="6"/>
        <v>415.48</v>
      </c>
      <c r="G719" s="9">
        <f t="shared" si="7"/>
        <v>6</v>
      </c>
      <c r="H719" s="7" t="str">
        <f t="shared" si="8"/>
        <v>Jan</v>
      </c>
      <c r="I719" s="7">
        <f t="shared" si="9"/>
        <v>1</v>
      </c>
    </row>
    <row r="720">
      <c r="A720" s="6">
        <f t="shared" si="1"/>
        <v>45739</v>
      </c>
      <c r="B720" s="7" t="str">
        <f t="shared" si="2"/>
        <v>Laptop</v>
      </c>
      <c r="C720" s="7" t="str">
        <f t="shared" si="3"/>
        <v>Electronics</v>
      </c>
      <c r="D720" s="7" t="str">
        <f t="shared" si="4"/>
        <v>East</v>
      </c>
      <c r="E720" s="8">
        <f t="shared" si="5"/>
        <v>1175</v>
      </c>
      <c r="F720" s="8">
        <f t="shared" si="6"/>
        <v>305.5</v>
      </c>
      <c r="G720" s="9">
        <f t="shared" si="7"/>
        <v>7</v>
      </c>
      <c r="H720" s="7" t="str">
        <f t="shared" si="8"/>
        <v>Mar</v>
      </c>
      <c r="I720" s="7">
        <f t="shared" si="9"/>
        <v>3</v>
      </c>
    </row>
    <row r="721">
      <c r="A721" s="6">
        <f t="shared" si="1"/>
        <v>45897</v>
      </c>
      <c r="B721" s="7" t="str">
        <f t="shared" si="2"/>
        <v>Phone</v>
      </c>
      <c r="C721" s="7" t="str">
        <f t="shared" si="3"/>
        <v>Electronics</v>
      </c>
      <c r="D721" s="7" t="str">
        <f t="shared" si="4"/>
        <v>North</v>
      </c>
      <c r="E721" s="8">
        <f t="shared" si="5"/>
        <v>436</v>
      </c>
      <c r="F721" s="8">
        <f t="shared" si="6"/>
        <v>56.68</v>
      </c>
      <c r="G721" s="9">
        <f t="shared" si="7"/>
        <v>8</v>
      </c>
      <c r="H721" s="7" t="str">
        <f t="shared" si="8"/>
        <v>Aug</v>
      </c>
      <c r="I721" s="7">
        <f t="shared" si="9"/>
        <v>8</v>
      </c>
    </row>
    <row r="722">
      <c r="A722" s="6">
        <f t="shared" si="1"/>
        <v>45939</v>
      </c>
      <c r="B722" s="7" t="str">
        <f t="shared" si="2"/>
        <v>Phone</v>
      </c>
      <c r="C722" s="7" t="str">
        <f t="shared" si="3"/>
        <v>Electronics</v>
      </c>
      <c r="D722" s="7" t="str">
        <f t="shared" si="4"/>
        <v>East</v>
      </c>
      <c r="E722" s="8">
        <f t="shared" si="5"/>
        <v>1351</v>
      </c>
      <c r="F722" s="8">
        <f t="shared" si="6"/>
        <v>270.2</v>
      </c>
      <c r="G722" s="9">
        <f t="shared" si="7"/>
        <v>5</v>
      </c>
      <c r="H722" s="7" t="str">
        <f t="shared" si="8"/>
        <v>Oct</v>
      </c>
      <c r="I722" s="7">
        <f t="shared" si="9"/>
        <v>10</v>
      </c>
    </row>
    <row r="723">
      <c r="A723" s="6">
        <f t="shared" si="1"/>
        <v>46014</v>
      </c>
      <c r="B723" s="7" t="str">
        <f t="shared" si="2"/>
        <v>Chair</v>
      </c>
      <c r="C723" s="7" t="str">
        <f t="shared" si="3"/>
        <v>Furniture</v>
      </c>
      <c r="D723" s="7" t="str">
        <f t="shared" si="4"/>
        <v>South</v>
      </c>
      <c r="E723" s="8">
        <f t="shared" si="5"/>
        <v>786</v>
      </c>
      <c r="F723" s="8">
        <f t="shared" si="6"/>
        <v>94.32</v>
      </c>
      <c r="G723" s="9">
        <f t="shared" si="7"/>
        <v>8</v>
      </c>
      <c r="H723" s="7" t="str">
        <f t="shared" si="8"/>
        <v>Dec</v>
      </c>
      <c r="I723" s="7">
        <f t="shared" si="9"/>
        <v>12</v>
      </c>
    </row>
    <row r="724">
      <c r="A724" s="6">
        <f t="shared" si="1"/>
        <v>45944</v>
      </c>
      <c r="B724" s="7" t="str">
        <f t="shared" si="2"/>
        <v>Phone</v>
      </c>
      <c r="C724" s="7" t="str">
        <f t="shared" si="3"/>
        <v>Electronics</v>
      </c>
      <c r="D724" s="7" t="str">
        <f t="shared" si="4"/>
        <v>South</v>
      </c>
      <c r="E724" s="8">
        <f t="shared" si="5"/>
        <v>795</v>
      </c>
      <c r="F724" s="8">
        <f t="shared" si="6"/>
        <v>95.4</v>
      </c>
      <c r="G724" s="9">
        <f t="shared" si="7"/>
        <v>4</v>
      </c>
      <c r="H724" s="7" t="str">
        <f t="shared" si="8"/>
        <v>Oct</v>
      </c>
      <c r="I724" s="7">
        <f t="shared" si="9"/>
        <v>10</v>
      </c>
    </row>
    <row r="725">
      <c r="A725" s="6">
        <f t="shared" si="1"/>
        <v>45858</v>
      </c>
      <c r="B725" s="7" t="str">
        <f t="shared" si="2"/>
        <v>Tablet</v>
      </c>
      <c r="C725" s="7" t="str">
        <f t="shared" si="3"/>
        <v>Electronics</v>
      </c>
      <c r="D725" s="7" t="str">
        <f t="shared" si="4"/>
        <v>South</v>
      </c>
      <c r="E725" s="8">
        <f t="shared" si="5"/>
        <v>723</v>
      </c>
      <c r="F725" s="8">
        <f t="shared" si="6"/>
        <v>166.29</v>
      </c>
      <c r="G725" s="9">
        <f t="shared" si="7"/>
        <v>4</v>
      </c>
      <c r="H725" s="7" t="str">
        <f t="shared" si="8"/>
        <v>Jul</v>
      </c>
      <c r="I725" s="7">
        <f t="shared" si="9"/>
        <v>7</v>
      </c>
    </row>
    <row r="726">
      <c r="A726" s="6">
        <f t="shared" si="1"/>
        <v>45936</v>
      </c>
      <c r="B726" s="7" t="str">
        <f t="shared" si="2"/>
        <v>Laptop</v>
      </c>
      <c r="C726" s="7" t="str">
        <f t="shared" si="3"/>
        <v>Electronics</v>
      </c>
      <c r="D726" s="7" t="str">
        <f t="shared" si="4"/>
        <v>North</v>
      </c>
      <c r="E726" s="8">
        <f t="shared" si="5"/>
        <v>1471</v>
      </c>
      <c r="F726" s="8">
        <f t="shared" si="6"/>
        <v>323.62</v>
      </c>
      <c r="G726" s="9">
        <f t="shared" si="7"/>
        <v>9</v>
      </c>
      <c r="H726" s="7" t="str">
        <f t="shared" si="8"/>
        <v>Oct</v>
      </c>
      <c r="I726" s="7">
        <f t="shared" si="9"/>
        <v>10</v>
      </c>
    </row>
    <row r="727">
      <c r="A727" s="6">
        <f t="shared" si="1"/>
        <v>45740</v>
      </c>
      <c r="B727" s="7" t="str">
        <f t="shared" si="2"/>
        <v>Tablet</v>
      </c>
      <c r="C727" s="7" t="str">
        <f t="shared" si="3"/>
        <v>Electronics</v>
      </c>
      <c r="D727" s="7" t="str">
        <f t="shared" si="4"/>
        <v>South</v>
      </c>
      <c r="E727" s="8">
        <f t="shared" si="5"/>
        <v>1528</v>
      </c>
      <c r="F727" s="8">
        <f t="shared" si="6"/>
        <v>366.72</v>
      </c>
      <c r="G727" s="9">
        <f t="shared" si="7"/>
        <v>9</v>
      </c>
      <c r="H727" s="7" t="str">
        <f t="shared" si="8"/>
        <v>Mar</v>
      </c>
      <c r="I727" s="7">
        <f t="shared" si="9"/>
        <v>3</v>
      </c>
    </row>
    <row r="728">
      <c r="A728" s="6">
        <f t="shared" si="1"/>
        <v>45694</v>
      </c>
      <c r="B728" s="7" t="str">
        <f t="shared" si="2"/>
        <v>Phone</v>
      </c>
      <c r="C728" s="7" t="str">
        <f t="shared" si="3"/>
        <v>Electronics</v>
      </c>
      <c r="D728" s="7" t="str">
        <f t="shared" si="4"/>
        <v>South</v>
      </c>
      <c r="E728" s="8">
        <f t="shared" si="5"/>
        <v>403</v>
      </c>
      <c r="F728" s="8">
        <f t="shared" si="6"/>
        <v>116.87</v>
      </c>
      <c r="G728" s="9">
        <f t="shared" si="7"/>
        <v>7</v>
      </c>
      <c r="H728" s="7" t="str">
        <f t="shared" si="8"/>
        <v>Feb</v>
      </c>
      <c r="I728" s="7">
        <f t="shared" si="9"/>
        <v>2</v>
      </c>
    </row>
    <row r="729">
      <c r="A729" s="6">
        <f t="shared" si="1"/>
        <v>45969</v>
      </c>
      <c r="B729" s="7" t="str">
        <f t="shared" si="2"/>
        <v>Phone</v>
      </c>
      <c r="C729" s="7" t="str">
        <f t="shared" si="3"/>
        <v>Electronics</v>
      </c>
      <c r="D729" s="7" t="str">
        <f t="shared" si="4"/>
        <v>North</v>
      </c>
      <c r="E729" s="8">
        <f t="shared" si="5"/>
        <v>1370</v>
      </c>
      <c r="F729" s="8">
        <f t="shared" si="6"/>
        <v>137</v>
      </c>
      <c r="G729" s="9">
        <f t="shared" si="7"/>
        <v>6</v>
      </c>
      <c r="H729" s="7" t="str">
        <f t="shared" si="8"/>
        <v>Nov</v>
      </c>
      <c r="I729" s="7">
        <f t="shared" si="9"/>
        <v>11</v>
      </c>
    </row>
    <row r="730">
      <c r="A730" s="6">
        <f t="shared" si="1"/>
        <v>45959</v>
      </c>
      <c r="B730" s="7" t="str">
        <f t="shared" si="2"/>
        <v>Phone</v>
      </c>
      <c r="C730" s="7" t="str">
        <f t="shared" si="3"/>
        <v>Electronics</v>
      </c>
      <c r="D730" s="7" t="str">
        <f t="shared" si="4"/>
        <v>West</v>
      </c>
      <c r="E730" s="8">
        <f t="shared" si="5"/>
        <v>1482</v>
      </c>
      <c r="F730" s="8">
        <f t="shared" si="6"/>
        <v>444.6</v>
      </c>
      <c r="G730" s="9">
        <f t="shared" si="7"/>
        <v>1</v>
      </c>
      <c r="H730" s="7" t="str">
        <f t="shared" si="8"/>
        <v>Oct</v>
      </c>
      <c r="I730" s="7">
        <f t="shared" si="9"/>
        <v>10</v>
      </c>
    </row>
    <row r="731">
      <c r="A731" s="6">
        <f t="shared" si="1"/>
        <v>45992</v>
      </c>
      <c r="B731" s="7" t="str">
        <f t="shared" si="2"/>
        <v>Chair</v>
      </c>
      <c r="C731" s="7" t="str">
        <f t="shared" si="3"/>
        <v>Furniture</v>
      </c>
      <c r="D731" s="7" t="str">
        <f t="shared" si="4"/>
        <v>South</v>
      </c>
      <c r="E731" s="8">
        <f t="shared" si="5"/>
        <v>1394</v>
      </c>
      <c r="F731" s="8">
        <f t="shared" si="6"/>
        <v>223.04</v>
      </c>
      <c r="G731" s="9">
        <f t="shared" si="7"/>
        <v>10</v>
      </c>
      <c r="H731" s="7" t="str">
        <f t="shared" si="8"/>
        <v>Dec</v>
      </c>
      <c r="I731" s="7">
        <f t="shared" si="9"/>
        <v>12</v>
      </c>
    </row>
    <row r="732">
      <c r="A732" s="6">
        <f t="shared" si="1"/>
        <v>45668</v>
      </c>
      <c r="B732" s="7" t="str">
        <f t="shared" si="2"/>
        <v>Tablet</v>
      </c>
      <c r="C732" s="7" t="str">
        <f t="shared" si="3"/>
        <v>Electronics</v>
      </c>
      <c r="D732" s="7" t="str">
        <f t="shared" si="4"/>
        <v>East</v>
      </c>
      <c r="E732" s="8">
        <f t="shared" si="5"/>
        <v>1222</v>
      </c>
      <c r="F732" s="8">
        <f t="shared" si="6"/>
        <v>342.16</v>
      </c>
      <c r="G732" s="9">
        <f t="shared" si="7"/>
        <v>4</v>
      </c>
      <c r="H732" s="7" t="str">
        <f t="shared" si="8"/>
        <v>Jan</v>
      </c>
      <c r="I732" s="7">
        <f t="shared" si="9"/>
        <v>1</v>
      </c>
    </row>
    <row r="733">
      <c r="A733" s="6">
        <f t="shared" si="1"/>
        <v>45743</v>
      </c>
      <c r="B733" s="7" t="str">
        <f t="shared" si="2"/>
        <v>Chair</v>
      </c>
      <c r="C733" s="7" t="str">
        <f t="shared" si="3"/>
        <v>Furniture</v>
      </c>
      <c r="D733" s="7" t="str">
        <f t="shared" si="4"/>
        <v>East</v>
      </c>
      <c r="E733" s="8">
        <f t="shared" si="5"/>
        <v>515</v>
      </c>
      <c r="F733" s="8">
        <f t="shared" si="6"/>
        <v>133.9</v>
      </c>
      <c r="G733" s="9">
        <f t="shared" si="7"/>
        <v>1</v>
      </c>
      <c r="H733" s="7" t="str">
        <f t="shared" si="8"/>
        <v>Mar</v>
      </c>
      <c r="I733" s="7">
        <f t="shared" si="9"/>
        <v>3</v>
      </c>
    </row>
    <row r="734">
      <c r="A734" s="6">
        <f t="shared" si="1"/>
        <v>45825</v>
      </c>
      <c r="B734" s="7" t="str">
        <f t="shared" si="2"/>
        <v>Phone</v>
      </c>
      <c r="C734" s="7" t="str">
        <f t="shared" si="3"/>
        <v>Electronics</v>
      </c>
      <c r="D734" s="7" t="str">
        <f t="shared" si="4"/>
        <v>North</v>
      </c>
      <c r="E734" s="8">
        <f t="shared" si="5"/>
        <v>1063</v>
      </c>
      <c r="F734" s="8">
        <f t="shared" si="6"/>
        <v>297.64</v>
      </c>
      <c r="G734" s="9">
        <f t="shared" si="7"/>
        <v>4</v>
      </c>
      <c r="H734" s="7" t="str">
        <f t="shared" si="8"/>
        <v>Jun</v>
      </c>
      <c r="I734" s="7">
        <f t="shared" si="9"/>
        <v>6</v>
      </c>
    </row>
    <row r="735">
      <c r="A735" s="6">
        <f t="shared" si="1"/>
        <v>46004</v>
      </c>
      <c r="B735" s="7" t="str">
        <f t="shared" si="2"/>
        <v>Laptop</v>
      </c>
      <c r="C735" s="7" t="str">
        <f t="shared" si="3"/>
        <v>Electronics</v>
      </c>
      <c r="D735" s="7" t="str">
        <f t="shared" si="4"/>
        <v>South</v>
      </c>
      <c r="E735" s="8">
        <f t="shared" si="5"/>
        <v>1686</v>
      </c>
      <c r="F735" s="8">
        <f t="shared" si="6"/>
        <v>505.8</v>
      </c>
      <c r="G735" s="9">
        <f t="shared" si="7"/>
        <v>1</v>
      </c>
      <c r="H735" s="7" t="str">
        <f t="shared" si="8"/>
        <v>Dec</v>
      </c>
      <c r="I735" s="7">
        <f t="shared" si="9"/>
        <v>12</v>
      </c>
    </row>
    <row r="736">
      <c r="A736" s="6">
        <f t="shared" si="1"/>
        <v>45685</v>
      </c>
      <c r="B736" s="7" t="str">
        <f t="shared" si="2"/>
        <v>Phone</v>
      </c>
      <c r="C736" s="7" t="str">
        <f t="shared" si="3"/>
        <v>Electronics</v>
      </c>
      <c r="D736" s="7" t="str">
        <f t="shared" si="4"/>
        <v>South</v>
      </c>
      <c r="E736" s="8">
        <f t="shared" si="5"/>
        <v>1803</v>
      </c>
      <c r="F736" s="8">
        <f t="shared" si="6"/>
        <v>180.3</v>
      </c>
      <c r="G736" s="9">
        <f t="shared" si="7"/>
        <v>5</v>
      </c>
      <c r="H736" s="7" t="str">
        <f t="shared" si="8"/>
        <v>Jan</v>
      </c>
      <c r="I736" s="7">
        <f t="shared" si="9"/>
        <v>1</v>
      </c>
    </row>
    <row r="737">
      <c r="A737" s="6">
        <f t="shared" si="1"/>
        <v>45672</v>
      </c>
      <c r="B737" s="7" t="str">
        <f t="shared" si="2"/>
        <v>Table</v>
      </c>
      <c r="C737" s="7" t="str">
        <f t="shared" si="3"/>
        <v>Furniture</v>
      </c>
      <c r="D737" s="7" t="str">
        <f t="shared" si="4"/>
        <v>East</v>
      </c>
      <c r="E737" s="8">
        <f t="shared" si="5"/>
        <v>1877</v>
      </c>
      <c r="F737" s="8">
        <f t="shared" si="6"/>
        <v>262.78</v>
      </c>
      <c r="G737" s="9">
        <f t="shared" si="7"/>
        <v>7</v>
      </c>
      <c r="H737" s="7" t="str">
        <f t="shared" si="8"/>
        <v>Jan</v>
      </c>
      <c r="I737" s="7">
        <f t="shared" si="9"/>
        <v>1</v>
      </c>
    </row>
    <row r="738">
      <c r="A738" s="6">
        <f t="shared" si="1"/>
        <v>45998</v>
      </c>
      <c r="B738" s="7" t="str">
        <f t="shared" si="2"/>
        <v>Phone</v>
      </c>
      <c r="C738" s="7" t="str">
        <f t="shared" si="3"/>
        <v>Electronics</v>
      </c>
      <c r="D738" s="7" t="str">
        <f t="shared" si="4"/>
        <v>South</v>
      </c>
      <c r="E738" s="8">
        <f t="shared" si="5"/>
        <v>1602</v>
      </c>
      <c r="F738" s="8">
        <f t="shared" si="6"/>
        <v>240.3</v>
      </c>
      <c r="G738" s="9">
        <f t="shared" si="7"/>
        <v>10</v>
      </c>
      <c r="H738" s="7" t="str">
        <f t="shared" si="8"/>
        <v>Dec</v>
      </c>
      <c r="I738" s="7">
        <f t="shared" si="9"/>
        <v>12</v>
      </c>
    </row>
    <row r="739">
      <c r="A739" s="6">
        <f t="shared" si="1"/>
        <v>45909</v>
      </c>
      <c r="B739" s="7" t="str">
        <f t="shared" si="2"/>
        <v>Phone</v>
      </c>
      <c r="C739" s="7" t="str">
        <f t="shared" si="3"/>
        <v>Electronics</v>
      </c>
      <c r="D739" s="7" t="str">
        <f t="shared" si="4"/>
        <v>South</v>
      </c>
      <c r="E739" s="8">
        <f t="shared" si="5"/>
        <v>551</v>
      </c>
      <c r="F739" s="8">
        <f t="shared" si="6"/>
        <v>154.28</v>
      </c>
      <c r="G739" s="9">
        <f t="shared" si="7"/>
        <v>7</v>
      </c>
      <c r="H739" s="7" t="str">
        <f t="shared" si="8"/>
        <v>Sep</v>
      </c>
      <c r="I739" s="7">
        <f t="shared" si="9"/>
        <v>9</v>
      </c>
    </row>
    <row r="740">
      <c r="A740" s="6">
        <f t="shared" si="1"/>
        <v>45954</v>
      </c>
      <c r="B740" s="7" t="str">
        <f t="shared" si="2"/>
        <v>Laptop</v>
      </c>
      <c r="C740" s="7" t="str">
        <f t="shared" si="3"/>
        <v>Electronics</v>
      </c>
      <c r="D740" s="7" t="str">
        <f t="shared" si="4"/>
        <v>West</v>
      </c>
      <c r="E740" s="8">
        <f t="shared" si="5"/>
        <v>1456</v>
      </c>
      <c r="F740" s="8">
        <f t="shared" si="6"/>
        <v>262.08</v>
      </c>
      <c r="G740" s="9">
        <f t="shared" si="7"/>
        <v>8</v>
      </c>
      <c r="H740" s="7" t="str">
        <f t="shared" si="8"/>
        <v>Oct</v>
      </c>
      <c r="I740" s="7">
        <f t="shared" si="9"/>
        <v>10</v>
      </c>
    </row>
    <row r="741">
      <c r="A741" s="6">
        <f t="shared" si="1"/>
        <v>45867</v>
      </c>
      <c r="B741" s="7" t="str">
        <f t="shared" si="2"/>
        <v>Table</v>
      </c>
      <c r="C741" s="7" t="str">
        <f t="shared" si="3"/>
        <v>Furniture</v>
      </c>
      <c r="D741" s="7" t="str">
        <f t="shared" si="4"/>
        <v>North</v>
      </c>
      <c r="E741" s="8">
        <f t="shared" si="5"/>
        <v>1255</v>
      </c>
      <c r="F741" s="8">
        <f t="shared" si="6"/>
        <v>363.95</v>
      </c>
      <c r="G741" s="9">
        <f t="shared" si="7"/>
        <v>7</v>
      </c>
      <c r="H741" s="7" t="str">
        <f t="shared" si="8"/>
        <v>Jul</v>
      </c>
      <c r="I741" s="7">
        <f t="shared" si="9"/>
        <v>7</v>
      </c>
    </row>
    <row r="742">
      <c r="A742" s="6">
        <f t="shared" si="1"/>
        <v>45823</v>
      </c>
      <c r="B742" s="7" t="str">
        <f t="shared" si="2"/>
        <v>Phone</v>
      </c>
      <c r="C742" s="7" t="str">
        <f t="shared" si="3"/>
        <v>Electronics</v>
      </c>
      <c r="D742" s="7" t="str">
        <f t="shared" si="4"/>
        <v>West</v>
      </c>
      <c r="E742" s="8">
        <f t="shared" si="5"/>
        <v>1042</v>
      </c>
      <c r="F742" s="8">
        <f t="shared" si="6"/>
        <v>302.18</v>
      </c>
      <c r="G742" s="9">
        <f t="shared" si="7"/>
        <v>2</v>
      </c>
      <c r="H742" s="7" t="str">
        <f t="shared" si="8"/>
        <v>Jun</v>
      </c>
      <c r="I742" s="7">
        <f t="shared" si="9"/>
        <v>6</v>
      </c>
    </row>
    <row r="743">
      <c r="A743" s="6">
        <f t="shared" si="1"/>
        <v>45908</v>
      </c>
      <c r="B743" s="7" t="str">
        <f t="shared" si="2"/>
        <v>Chair</v>
      </c>
      <c r="C743" s="7" t="str">
        <f t="shared" si="3"/>
        <v>Furniture</v>
      </c>
      <c r="D743" s="7" t="str">
        <f t="shared" si="4"/>
        <v>East</v>
      </c>
      <c r="E743" s="8">
        <f t="shared" si="5"/>
        <v>954</v>
      </c>
      <c r="F743" s="8">
        <f t="shared" si="6"/>
        <v>162.18</v>
      </c>
      <c r="G743" s="9">
        <f t="shared" si="7"/>
        <v>10</v>
      </c>
      <c r="H743" s="7" t="str">
        <f t="shared" si="8"/>
        <v>Sep</v>
      </c>
      <c r="I743" s="7">
        <f t="shared" si="9"/>
        <v>9</v>
      </c>
    </row>
    <row r="744">
      <c r="A744" s="6">
        <f t="shared" si="1"/>
        <v>45901</v>
      </c>
      <c r="B744" s="7" t="str">
        <f t="shared" si="2"/>
        <v>Table</v>
      </c>
      <c r="C744" s="7" t="str">
        <f t="shared" si="3"/>
        <v>Furniture</v>
      </c>
      <c r="D744" s="7" t="str">
        <f t="shared" si="4"/>
        <v>West</v>
      </c>
      <c r="E744" s="8">
        <f t="shared" si="5"/>
        <v>325</v>
      </c>
      <c r="F744" s="8">
        <f t="shared" si="6"/>
        <v>84.5</v>
      </c>
      <c r="G744" s="9">
        <f t="shared" si="7"/>
        <v>9</v>
      </c>
      <c r="H744" s="7" t="str">
        <f t="shared" si="8"/>
        <v>Sep</v>
      </c>
      <c r="I744" s="7">
        <f t="shared" si="9"/>
        <v>9</v>
      </c>
    </row>
    <row r="745">
      <c r="A745" s="6">
        <f t="shared" si="1"/>
        <v>46020</v>
      </c>
      <c r="B745" s="7" t="str">
        <f t="shared" si="2"/>
        <v>Table</v>
      </c>
      <c r="C745" s="7" t="str">
        <f t="shared" si="3"/>
        <v>Furniture</v>
      </c>
      <c r="D745" s="7" t="str">
        <f t="shared" si="4"/>
        <v>East</v>
      </c>
      <c r="E745" s="8">
        <f t="shared" si="5"/>
        <v>1863</v>
      </c>
      <c r="F745" s="8">
        <f t="shared" si="6"/>
        <v>316.71</v>
      </c>
      <c r="G745" s="9">
        <f t="shared" si="7"/>
        <v>2</v>
      </c>
      <c r="H745" s="7" t="str">
        <f t="shared" si="8"/>
        <v>Dec</v>
      </c>
      <c r="I745" s="7">
        <f t="shared" si="9"/>
        <v>12</v>
      </c>
    </row>
    <row r="746">
      <c r="A746" s="6">
        <f t="shared" si="1"/>
        <v>45868</v>
      </c>
      <c r="B746" s="7" t="str">
        <f t="shared" si="2"/>
        <v>Monitor</v>
      </c>
      <c r="C746" s="7" t="str">
        <f t="shared" si="3"/>
        <v>Electronics</v>
      </c>
      <c r="D746" s="7" t="str">
        <f t="shared" si="4"/>
        <v>South</v>
      </c>
      <c r="E746" s="8">
        <f t="shared" si="5"/>
        <v>367</v>
      </c>
      <c r="F746" s="8">
        <f t="shared" si="6"/>
        <v>99.09</v>
      </c>
      <c r="G746" s="9">
        <f t="shared" si="7"/>
        <v>8</v>
      </c>
      <c r="H746" s="7" t="str">
        <f t="shared" si="8"/>
        <v>Jul</v>
      </c>
      <c r="I746" s="7">
        <f t="shared" si="9"/>
        <v>7</v>
      </c>
    </row>
    <row r="747">
      <c r="A747" s="6">
        <f t="shared" si="1"/>
        <v>45838</v>
      </c>
      <c r="B747" s="7" t="str">
        <f t="shared" si="2"/>
        <v>Chair</v>
      </c>
      <c r="C747" s="7" t="str">
        <f t="shared" si="3"/>
        <v>Furniture</v>
      </c>
      <c r="D747" s="7" t="str">
        <f t="shared" si="4"/>
        <v>North</v>
      </c>
      <c r="E747" s="8">
        <f t="shared" si="5"/>
        <v>1479</v>
      </c>
      <c r="F747" s="8">
        <f t="shared" si="6"/>
        <v>162.69</v>
      </c>
      <c r="G747" s="9">
        <f t="shared" si="7"/>
        <v>1</v>
      </c>
      <c r="H747" s="7" t="str">
        <f t="shared" si="8"/>
        <v>Jun</v>
      </c>
      <c r="I747" s="7">
        <f t="shared" si="9"/>
        <v>6</v>
      </c>
    </row>
    <row r="748">
      <c r="A748" s="6">
        <f t="shared" si="1"/>
        <v>45956</v>
      </c>
      <c r="B748" s="7" t="str">
        <f t="shared" si="2"/>
        <v>Monitor</v>
      </c>
      <c r="C748" s="7" t="str">
        <f t="shared" si="3"/>
        <v>Electronics</v>
      </c>
      <c r="D748" s="7" t="str">
        <f t="shared" si="4"/>
        <v>East</v>
      </c>
      <c r="E748" s="8">
        <f t="shared" si="5"/>
        <v>1365</v>
      </c>
      <c r="F748" s="8">
        <f t="shared" si="6"/>
        <v>368.55</v>
      </c>
      <c r="G748" s="9">
        <f t="shared" si="7"/>
        <v>6</v>
      </c>
      <c r="H748" s="7" t="str">
        <f t="shared" si="8"/>
        <v>Oct</v>
      </c>
      <c r="I748" s="7">
        <f t="shared" si="9"/>
        <v>10</v>
      </c>
    </row>
    <row r="749">
      <c r="A749" s="6">
        <f t="shared" si="1"/>
        <v>45793</v>
      </c>
      <c r="B749" s="7" t="str">
        <f t="shared" si="2"/>
        <v>Tablet</v>
      </c>
      <c r="C749" s="7" t="str">
        <f t="shared" si="3"/>
        <v>Electronics</v>
      </c>
      <c r="D749" s="7" t="str">
        <f t="shared" si="4"/>
        <v>West</v>
      </c>
      <c r="E749" s="8">
        <f t="shared" si="5"/>
        <v>1351</v>
      </c>
      <c r="F749" s="8">
        <f t="shared" si="6"/>
        <v>283.71</v>
      </c>
      <c r="G749" s="9">
        <f t="shared" si="7"/>
        <v>9</v>
      </c>
      <c r="H749" s="7" t="str">
        <f t="shared" si="8"/>
        <v>May</v>
      </c>
      <c r="I749" s="7">
        <f t="shared" si="9"/>
        <v>5</v>
      </c>
    </row>
    <row r="750">
      <c r="A750" s="6">
        <f t="shared" si="1"/>
        <v>45967</v>
      </c>
      <c r="B750" s="7" t="str">
        <f t="shared" si="2"/>
        <v>Monitor</v>
      </c>
      <c r="C750" s="7" t="str">
        <f t="shared" si="3"/>
        <v>Electronics</v>
      </c>
      <c r="D750" s="7" t="str">
        <f t="shared" si="4"/>
        <v>South</v>
      </c>
      <c r="E750" s="8">
        <f t="shared" si="5"/>
        <v>1557</v>
      </c>
      <c r="F750" s="8">
        <f t="shared" si="6"/>
        <v>342.54</v>
      </c>
      <c r="G750" s="9">
        <f t="shared" si="7"/>
        <v>8</v>
      </c>
      <c r="H750" s="7" t="str">
        <f t="shared" si="8"/>
        <v>Nov</v>
      </c>
      <c r="I750" s="7">
        <f t="shared" si="9"/>
        <v>11</v>
      </c>
    </row>
    <row r="751">
      <c r="A751" s="6">
        <f t="shared" si="1"/>
        <v>45822</v>
      </c>
      <c r="B751" s="7" t="str">
        <f t="shared" si="2"/>
        <v>Tablet</v>
      </c>
      <c r="C751" s="7" t="str">
        <f t="shared" si="3"/>
        <v>Electronics</v>
      </c>
      <c r="D751" s="7" t="str">
        <f t="shared" si="4"/>
        <v>North</v>
      </c>
      <c r="E751" s="8">
        <f t="shared" si="5"/>
        <v>980</v>
      </c>
      <c r="F751" s="8">
        <f t="shared" si="6"/>
        <v>225.4</v>
      </c>
      <c r="G751" s="9">
        <f t="shared" si="7"/>
        <v>3</v>
      </c>
      <c r="H751" s="7" t="str">
        <f t="shared" si="8"/>
        <v>Jun</v>
      </c>
      <c r="I751" s="7">
        <f t="shared" si="9"/>
        <v>6</v>
      </c>
    </row>
    <row r="752">
      <c r="A752" s="6">
        <f t="shared" si="1"/>
        <v>45689</v>
      </c>
      <c r="B752" s="7" t="str">
        <f t="shared" si="2"/>
        <v>Laptop</v>
      </c>
      <c r="C752" s="7" t="str">
        <f t="shared" si="3"/>
        <v>Electronics</v>
      </c>
      <c r="D752" s="7" t="str">
        <f t="shared" si="4"/>
        <v>East</v>
      </c>
      <c r="E752" s="8">
        <f t="shared" si="5"/>
        <v>510</v>
      </c>
      <c r="F752" s="8">
        <f t="shared" si="6"/>
        <v>153</v>
      </c>
      <c r="G752" s="9">
        <f t="shared" si="7"/>
        <v>2</v>
      </c>
      <c r="H752" s="7" t="str">
        <f t="shared" si="8"/>
        <v>Feb</v>
      </c>
      <c r="I752" s="7">
        <f t="shared" si="9"/>
        <v>2</v>
      </c>
    </row>
    <row r="753">
      <c r="A753" s="6">
        <f t="shared" si="1"/>
        <v>45666</v>
      </c>
      <c r="B753" s="7" t="str">
        <f t="shared" si="2"/>
        <v>Monitor</v>
      </c>
      <c r="C753" s="7" t="str">
        <f t="shared" si="3"/>
        <v>Electronics</v>
      </c>
      <c r="D753" s="7" t="str">
        <f t="shared" si="4"/>
        <v>North</v>
      </c>
      <c r="E753" s="8">
        <f t="shared" si="5"/>
        <v>1287</v>
      </c>
      <c r="F753" s="8">
        <f t="shared" si="6"/>
        <v>167.31</v>
      </c>
      <c r="G753" s="9">
        <f t="shared" si="7"/>
        <v>8</v>
      </c>
      <c r="H753" s="7" t="str">
        <f t="shared" si="8"/>
        <v>Jan</v>
      </c>
      <c r="I753" s="7">
        <f t="shared" si="9"/>
        <v>1</v>
      </c>
    </row>
    <row r="754">
      <c r="A754" s="6">
        <f t="shared" si="1"/>
        <v>45769</v>
      </c>
      <c r="B754" s="7" t="str">
        <f t="shared" si="2"/>
        <v>Tablet</v>
      </c>
      <c r="C754" s="7" t="str">
        <f t="shared" si="3"/>
        <v>Electronics</v>
      </c>
      <c r="D754" s="7" t="str">
        <f t="shared" si="4"/>
        <v>South</v>
      </c>
      <c r="E754" s="8">
        <f t="shared" si="5"/>
        <v>1963</v>
      </c>
      <c r="F754" s="8">
        <f t="shared" si="6"/>
        <v>451.49</v>
      </c>
      <c r="G754" s="9">
        <f t="shared" si="7"/>
        <v>9</v>
      </c>
      <c r="H754" s="7" t="str">
        <f t="shared" si="8"/>
        <v>Apr</v>
      </c>
      <c r="I754" s="7">
        <f t="shared" si="9"/>
        <v>4</v>
      </c>
    </row>
    <row r="755">
      <c r="A755" s="6">
        <f t="shared" si="1"/>
        <v>45999</v>
      </c>
      <c r="B755" s="7" t="str">
        <f t="shared" si="2"/>
        <v>Phone</v>
      </c>
      <c r="C755" s="7" t="str">
        <f t="shared" si="3"/>
        <v>Electronics</v>
      </c>
      <c r="D755" s="7" t="str">
        <f t="shared" si="4"/>
        <v>South</v>
      </c>
      <c r="E755" s="8">
        <f t="shared" si="5"/>
        <v>1352</v>
      </c>
      <c r="F755" s="8">
        <f t="shared" si="6"/>
        <v>202.8</v>
      </c>
      <c r="G755" s="9">
        <f t="shared" si="7"/>
        <v>1</v>
      </c>
      <c r="H755" s="7" t="str">
        <f t="shared" si="8"/>
        <v>Dec</v>
      </c>
      <c r="I755" s="7">
        <f t="shared" si="9"/>
        <v>12</v>
      </c>
    </row>
    <row r="756">
      <c r="A756" s="6">
        <f t="shared" si="1"/>
        <v>45719</v>
      </c>
      <c r="B756" s="7" t="str">
        <f t="shared" si="2"/>
        <v>Phone</v>
      </c>
      <c r="C756" s="7" t="str">
        <f t="shared" si="3"/>
        <v>Electronics</v>
      </c>
      <c r="D756" s="7" t="str">
        <f t="shared" si="4"/>
        <v>West</v>
      </c>
      <c r="E756" s="8">
        <f t="shared" si="5"/>
        <v>1142</v>
      </c>
      <c r="F756" s="8">
        <f t="shared" si="6"/>
        <v>239.82</v>
      </c>
      <c r="G756" s="9">
        <f t="shared" si="7"/>
        <v>6</v>
      </c>
      <c r="H756" s="7" t="str">
        <f t="shared" si="8"/>
        <v>Mar</v>
      </c>
      <c r="I756" s="7">
        <f t="shared" si="9"/>
        <v>3</v>
      </c>
    </row>
    <row r="757">
      <c r="A757" s="6">
        <f t="shared" si="1"/>
        <v>45808</v>
      </c>
      <c r="B757" s="7" t="str">
        <f t="shared" si="2"/>
        <v>Laptop</v>
      </c>
      <c r="C757" s="7" t="str">
        <f t="shared" si="3"/>
        <v>Electronics</v>
      </c>
      <c r="D757" s="7" t="str">
        <f t="shared" si="4"/>
        <v>East</v>
      </c>
      <c r="E757" s="8">
        <f t="shared" si="5"/>
        <v>548</v>
      </c>
      <c r="F757" s="8">
        <f t="shared" si="6"/>
        <v>131.52</v>
      </c>
      <c r="G757" s="9">
        <f t="shared" si="7"/>
        <v>6</v>
      </c>
      <c r="H757" s="7" t="str">
        <f t="shared" si="8"/>
        <v>May</v>
      </c>
      <c r="I757" s="7">
        <f t="shared" si="9"/>
        <v>5</v>
      </c>
    </row>
    <row r="758">
      <c r="A758" s="6">
        <f t="shared" si="1"/>
        <v>46013</v>
      </c>
      <c r="B758" s="7" t="str">
        <f t="shared" si="2"/>
        <v>Phone</v>
      </c>
      <c r="C758" s="7" t="str">
        <f t="shared" si="3"/>
        <v>Electronics</v>
      </c>
      <c r="D758" s="7" t="str">
        <f t="shared" si="4"/>
        <v>West</v>
      </c>
      <c r="E758" s="8">
        <f t="shared" si="5"/>
        <v>335</v>
      </c>
      <c r="F758" s="8">
        <f t="shared" si="6"/>
        <v>53.6</v>
      </c>
      <c r="G758" s="9">
        <f t="shared" si="7"/>
        <v>1</v>
      </c>
      <c r="H758" s="7" t="str">
        <f t="shared" si="8"/>
        <v>Dec</v>
      </c>
      <c r="I758" s="7">
        <f t="shared" si="9"/>
        <v>12</v>
      </c>
    </row>
    <row r="759">
      <c r="A759" s="6">
        <f t="shared" si="1"/>
        <v>45883</v>
      </c>
      <c r="B759" s="7" t="str">
        <f t="shared" si="2"/>
        <v>Monitor</v>
      </c>
      <c r="C759" s="7" t="str">
        <f t="shared" si="3"/>
        <v>Electronics</v>
      </c>
      <c r="D759" s="7" t="str">
        <f t="shared" si="4"/>
        <v>North</v>
      </c>
      <c r="E759" s="8">
        <f t="shared" si="5"/>
        <v>1808</v>
      </c>
      <c r="F759" s="8">
        <f t="shared" si="6"/>
        <v>271.2</v>
      </c>
      <c r="G759" s="9">
        <f t="shared" si="7"/>
        <v>3</v>
      </c>
      <c r="H759" s="7" t="str">
        <f t="shared" si="8"/>
        <v>Aug</v>
      </c>
      <c r="I759" s="7">
        <f t="shared" si="9"/>
        <v>8</v>
      </c>
    </row>
    <row r="760">
      <c r="A760" s="6">
        <f t="shared" si="1"/>
        <v>45754</v>
      </c>
      <c r="B760" s="7" t="str">
        <f t="shared" si="2"/>
        <v>Monitor</v>
      </c>
      <c r="C760" s="7" t="str">
        <f t="shared" si="3"/>
        <v>Electronics</v>
      </c>
      <c r="D760" s="7" t="str">
        <f t="shared" si="4"/>
        <v>North</v>
      </c>
      <c r="E760" s="8">
        <f t="shared" si="5"/>
        <v>747</v>
      </c>
      <c r="F760" s="8">
        <f t="shared" si="6"/>
        <v>156.87</v>
      </c>
      <c r="G760" s="9">
        <f t="shared" si="7"/>
        <v>6</v>
      </c>
      <c r="H760" s="7" t="str">
        <f t="shared" si="8"/>
        <v>Apr</v>
      </c>
      <c r="I760" s="7">
        <f t="shared" si="9"/>
        <v>4</v>
      </c>
    </row>
    <row r="761">
      <c r="A761" s="6">
        <f t="shared" si="1"/>
        <v>45902</v>
      </c>
      <c r="B761" s="7" t="str">
        <f t="shared" si="2"/>
        <v>Tablet</v>
      </c>
      <c r="C761" s="7" t="str">
        <f t="shared" si="3"/>
        <v>Electronics</v>
      </c>
      <c r="D761" s="7" t="str">
        <f t="shared" si="4"/>
        <v>West</v>
      </c>
      <c r="E761" s="8">
        <f t="shared" si="5"/>
        <v>683</v>
      </c>
      <c r="F761" s="8">
        <f t="shared" si="6"/>
        <v>163.92</v>
      </c>
      <c r="G761" s="9">
        <f t="shared" si="7"/>
        <v>8</v>
      </c>
      <c r="H761" s="7" t="str">
        <f t="shared" si="8"/>
        <v>Sep</v>
      </c>
      <c r="I761" s="7">
        <f t="shared" si="9"/>
        <v>9</v>
      </c>
    </row>
    <row r="762">
      <c r="A762" s="6">
        <f t="shared" si="1"/>
        <v>45896</v>
      </c>
      <c r="B762" s="7" t="str">
        <f t="shared" si="2"/>
        <v>Table</v>
      </c>
      <c r="C762" s="7" t="str">
        <f t="shared" si="3"/>
        <v>Furniture</v>
      </c>
      <c r="D762" s="7" t="str">
        <f t="shared" si="4"/>
        <v>East</v>
      </c>
      <c r="E762" s="8">
        <f t="shared" si="5"/>
        <v>1833</v>
      </c>
      <c r="F762" s="8">
        <f t="shared" si="6"/>
        <v>293.28</v>
      </c>
      <c r="G762" s="9">
        <f t="shared" si="7"/>
        <v>2</v>
      </c>
      <c r="H762" s="7" t="str">
        <f t="shared" si="8"/>
        <v>Aug</v>
      </c>
      <c r="I762" s="7">
        <f t="shared" si="9"/>
        <v>8</v>
      </c>
    </row>
    <row r="763">
      <c r="A763" s="6">
        <f t="shared" si="1"/>
        <v>45988</v>
      </c>
      <c r="B763" s="7" t="str">
        <f t="shared" si="2"/>
        <v>Monitor</v>
      </c>
      <c r="C763" s="7" t="str">
        <f t="shared" si="3"/>
        <v>Electronics</v>
      </c>
      <c r="D763" s="7" t="str">
        <f t="shared" si="4"/>
        <v>North</v>
      </c>
      <c r="E763" s="8">
        <f t="shared" si="5"/>
        <v>1683</v>
      </c>
      <c r="F763" s="8">
        <f t="shared" si="6"/>
        <v>387.09</v>
      </c>
      <c r="G763" s="9">
        <f t="shared" si="7"/>
        <v>10</v>
      </c>
      <c r="H763" s="7" t="str">
        <f t="shared" si="8"/>
        <v>Nov</v>
      </c>
      <c r="I763" s="7">
        <f t="shared" si="9"/>
        <v>11</v>
      </c>
    </row>
    <row r="764">
      <c r="A764" s="6">
        <f t="shared" si="1"/>
        <v>45740</v>
      </c>
      <c r="B764" s="7" t="str">
        <f t="shared" si="2"/>
        <v>Table</v>
      </c>
      <c r="C764" s="7" t="str">
        <f t="shared" si="3"/>
        <v>Furniture</v>
      </c>
      <c r="D764" s="7" t="str">
        <f t="shared" si="4"/>
        <v>North</v>
      </c>
      <c r="E764" s="8">
        <f t="shared" si="5"/>
        <v>756</v>
      </c>
      <c r="F764" s="8">
        <f t="shared" si="6"/>
        <v>113.4</v>
      </c>
      <c r="G764" s="9">
        <f t="shared" si="7"/>
        <v>7</v>
      </c>
      <c r="H764" s="7" t="str">
        <f t="shared" si="8"/>
        <v>Mar</v>
      </c>
      <c r="I764" s="7">
        <f t="shared" si="9"/>
        <v>3</v>
      </c>
    </row>
    <row r="765">
      <c r="A765" s="6">
        <f t="shared" si="1"/>
        <v>45680</v>
      </c>
      <c r="B765" s="7" t="str">
        <f t="shared" si="2"/>
        <v>Laptop</v>
      </c>
      <c r="C765" s="7" t="str">
        <f t="shared" si="3"/>
        <v>Electronics</v>
      </c>
      <c r="D765" s="7" t="str">
        <f t="shared" si="4"/>
        <v>East</v>
      </c>
      <c r="E765" s="8">
        <f t="shared" si="5"/>
        <v>1729</v>
      </c>
      <c r="F765" s="8">
        <f t="shared" si="6"/>
        <v>293.93</v>
      </c>
      <c r="G765" s="9">
        <f t="shared" si="7"/>
        <v>6</v>
      </c>
      <c r="H765" s="7" t="str">
        <f t="shared" si="8"/>
        <v>Jan</v>
      </c>
      <c r="I765" s="7">
        <f t="shared" si="9"/>
        <v>1</v>
      </c>
    </row>
    <row r="766">
      <c r="A766" s="6">
        <f t="shared" si="1"/>
        <v>45837</v>
      </c>
      <c r="B766" s="7" t="str">
        <f t="shared" si="2"/>
        <v>Monitor</v>
      </c>
      <c r="C766" s="7" t="str">
        <f t="shared" si="3"/>
        <v>Electronics</v>
      </c>
      <c r="D766" s="7" t="str">
        <f t="shared" si="4"/>
        <v>East</v>
      </c>
      <c r="E766" s="8">
        <f t="shared" si="5"/>
        <v>857</v>
      </c>
      <c r="F766" s="8">
        <f t="shared" si="6"/>
        <v>145.69</v>
      </c>
      <c r="G766" s="9">
        <f t="shared" si="7"/>
        <v>5</v>
      </c>
      <c r="H766" s="7" t="str">
        <f t="shared" si="8"/>
        <v>Jun</v>
      </c>
      <c r="I766" s="7">
        <f t="shared" si="9"/>
        <v>6</v>
      </c>
    </row>
    <row r="767">
      <c r="A767" s="6">
        <f t="shared" si="1"/>
        <v>45935</v>
      </c>
      <c r="B767" s="7" t="str">
        <f t="shared" si="2"/>
        <v>Tablet</v>
      </c>
      <c r="C767" s="7" t="str">
        <f t="shared" si="3"/>
        <v>Electronics</v>
      </c>
      <c r="D767" s="7" t="str">
        <f t="shared" si="4"/>
        <v>South</v>
      </c>
      <c r="E767" s="8">
        <f t="shared" si="5"/>
        <v>1968</v>
      </c>
      <c r="F767" s="8">
        <f t="shared" si="6"/>
        <v>472.32</v>
      </c>
      <c r="G767" s="9">
        <f t="shared" si="7"/>
        <v>1</v>
      </c>
      <c r="H767" s="7" t="str">
        <f t="shared" si="8"/>
        <v>Oct</v>
      </c>
      <c r="I767" s="7">
        <f t="shared" si="9"/>
        <v>10</v>
      </c>
    </row>
    <row r="768">
      <c r="A768" s="6">
        <f t="shared" si="1"/>
        <v>45876</v>
      </c>
      <c r="B768" s="7" t="str">
        <f t="shared" si="2"/>
        <v>Chair</v>
      </c>
      <c r="C768" s="7" t="str">
        <f t="shared" si="3"/>
        <v>Furniture</v>
      </c>
      <c r="D768" s="7" t="str">
        <f t="shared" si="4"/>
        <v>South</v>
      </c>
      <c r="E768" s="8">
        <f t="shared" si="5"/>
        <v>1509</v>
      </c>
      <c r="F768" s="8">
        <f t="shared" si="6"/>
        <v>392.34</v>
      </c>
      <c r="G768" s="9">
        <f t="shared" si="7"/>
        <v>3</v>
      </c>
      <c r="H768" s="7" t="str">
        <f t="shared" si="8"/>
        <v>Aug</v>
      </c>
      <c r="I768" s="7">
        <f t="shared" si="9"/>
        <v>8</v>
      </c>
    </row>
    <row r="769">
      <c r="A769" s="6">
        <f t="shared" si="1"/>
        <v>45783</v>
      </c>
      <c r="B769" s="7" t="str">
        <f t="shared" si="2"/>
        <v>Table</v>
      </c>
      <c r="C769" s="7" t="str">
        <f t="shared" si="3"/>
        <v>Furniture</v>
      </c>
      <c r="D769" s="7" t="str">
        <f t="shared" si="4"/>
        <v>South</v>
      </c>
      <c r="E769" s="8">
        <f t="shared" si="5"/>
        <v>1272</v>
      </c>
      <c r="F769" s="8">
        <f t="shared" si="6"/>
        <v>203.52</v>
      </c>
      <c r="G769" s="9">
        <f t="shared" si="7"/>
        <v>3</v>
      </c>
      <c r="H769" s="7" t="str">
        <f t="shared" si="8"/>
        <v>May</v>
      </c>
      <c r="I769" s="7">
        <f t="shared" si="9"/>
        <v>5</v>
      </c>
    </row>
    <row r="770">
      <c r="A770" s="6">
        <f t="shared" si="1"/>
        <v>45827</v>
      </c>
      <c r="B770" s="7" t="str">
        <f t="shared" si="2"/>
        <v>Laptop</v>
      </c>
      <c r="C770" s="7" t="str">
        <f t="shared" si="3"/>
        <v>Electronics</v>
      </c>
      <c r="D770" s="7" t="str">
        <f t="shared" si="4"/>
        <v>West</v>
      </c>
      <c r="E770" s="8">
        <f t="shared" si="5"/>
        <v>1685</v>
      </c>
      <c r="F770" s="8">
        <f t="shared" si="6"/>
        <v>320.15</v>
      </c>
      <c r="G770" s="9">
        <f t="shared" si="7"/>
        <v>7</v>
      </c>
      <c r="H770" s="7" t="str">
        <f t="shared" si="8"/>
        <v>Jun</v>
      </c>
      <c r="I770" s="7">
        <f t="shared" si="9"/>
        <v>6</v>
      </c>
    </row>
    <row r="771">
      <c r="A771" s="6">
        <f t="shared" si="1"/>
        <v>46022</v>
      </c>
      <c r="B771" s="7" t="str">
        <f t="shared" si="2"/>
        <v>Tablet</v>
      </c>
      <c r="C771" s="7" t="str">
        <f t="shared" si="3"/>
        <v>Electronics</v>
      </c>
      <c r="D771" s="7" t="str">
        <f t="shared" si="4"/>
        <v>West</v>
      </c>
      <c r="E771" s="8">
        <f t="shared" si="5"/>
        <v>1505</v>
      </c>
      <c r="F771" s="8">
        <f t="shared" si="6"/>
        <v>285.95</v>
      </c>
      <c r="G771" s="9">
        <f t="shared" si="7"/>
        <v>7</v>
      </c>
      <c r="H771" s="7" t="str">
        <f t="shared" si="8"/>
        <v>Dec</v>
      </c>
      <c r="I771" s="7">
        <f t="shared" si="9"/>
        <v>12</v>
      </c>
    </row>
    <row r="772">
      <c r="A772" s="6">
        <f t="shared" si="1"/>
        <v>45851</v>
      </c>
      <c r="B772" s="7" t="str">
        <f t="shared" si="2"/>
        <v>Chair</v>
      </c>
      <c r="C772" s="7" t="str">
        <f t="shared" si="3"/>
        <v>Furniture</v>
      </c>
      <c r="D772" s="7" t="str">
        <f t="shared" si="4"/>
        <v>North</v>
      </c>
      <c r="E772" s="8">
        <f t="shared" si="5"/>
        <v>1618</v>
      </c>
      <c r="F772" s="8">
        <f t="shared" si="6"/>
        <v>469.22</v>
      </c>
      <c r="G772" s="9">
        <f t="shared" si="7"/>
        <v>1</v>
      </c>
      <c r="H772" s="7" t="str">
        <f t="shared" si="8"/>
        <v>Jul</v>
      </c>
      <c r="I772" s="7">
        <f t="shared" si="9"/>
        <v>7</v>
      </c>
    </row>
    <row r="773">
      <c r="A773" s="6">
        <f t="shared" si="1"/>
        <v>45825</v>
      </c>
      <c r="B773" s="7" t="str">
        <f t="shared" si="2"/>
        <v>Tablet</v>
      </c>
      <c r="C773" s="7" t="str">
        <f t="shared" si="3"/>
        <v>Electronics</v>
      </c>
      <c r="D773" s="7" t="str">
        <f t="shared" si="4"/>
        <v>North</v>
      </c>
      <c r="E773" s="8">
        <f t="shared" si="5"/>
        <v>1485</v>
      </c>
      <c r="F773" s="8">
        <f t="shared" si="6"/>
        <v>341.55</v>
      </c>
      <c r="G773" s="9">
        <f t="shared" si="7"/>
        <v>9</v>
      </c>
      <c r="H773" s="7" t="str">
        <f t="shared" si="8"/>
        <v>Jun</v>
      </c>
      <c r="I773" s="7">
        <f t="shared" si="9"/>
        <v>6</v>
      </c>
    </row>
    <row r="774">
      <c r="A774" s="6">
        <f t="shared" si="1"/>
        <v>45881</v>
      </c>
      <c r="B774" s="7" t="str">
        <f t="shared" si="2"/>
        <v>Chair</v>
      </c>
      <c r="C774" s="7" t="str">
        <f t="shared" si="3"/>
        <v>Furniture</v>
      </c>
      <c r="D774" s="7" t="str">
        <f t="shared" si="4"/>
        <v>North</v>
      </c>
      <c r="E774" s="8">
        <f t="shared" si="5"/>
        <v>1553</v>
      </c>
      <c r="F774" s="8">
        <f t="shared" si="6"/>
        <v>279.54</v>
      </c>
      <c r="G774" s="9">
        <f t="shared" si="7"/>
        <v>5</v>
      </c>
      <c r="H774" s="7" t="str">
        <f t="shared" si="8"/>
        <v>Aug</v>
      </c>
      <c r="I774" s="7">
        <f t="shared" si="9"/>
        <v>8</v>
      </c>
    </row>
    <row r="775">
      <c r="A775" s="6">
        <f t="shared" si="1"/>
        <v>45662</v>
      </c>
      <c r="B775" s="7" t="str">
        <f t="shared" si="2"/>
        <v>Monitor</v>
      </c>
      <c r="C775" s="7" t="str">
        <f t="shared" si="3"/>
        <v>Electronics</v>
      </c>
      <c r="D775" s="7" t="str">
        <f t="shared" si="4"/>
        <v>North</v>
      </c>
      <c r="E775" s="8">
        <f t="shared" si="5"/>
        <v>341</v>
      </c>
      <c r="F775" s="8">
        <f t="shared" si="6"/>
        <v>54.56</v>
      </c>
      <c r="G775" s="9">
        <f t="shared" si="7"/>
        <v>7</v>
      </c>
      <c r="H775" s="7" t="str">
        <f t="shared" si="8"/>
        <v>Jan</v>
      </c>
      <c r="I775" s="7">
        <f t="shared" si="9"/>
        <v>1</v>
      </c>
    </row>
    <row r="776">
      <c r="A776" s="6">
        <f t="shared" si="1"/>
        <v>45792</v>
      </c>
      <c r="B776" s="7" t="str">
        <f t="shared" si="2"/>
        <v>Phone</v>
      </c>
      <c r="C776" s="7" t="str">
        <f t="shared" si="3"/>
        <v>Electronics</v>
      </c>
      <c r="D776" s="7" t="str">
        <f t="shared" si="4"/>
        <v>South</v>
      </c>
      <c r="E776" s="8">
        <f t="shared" si="5"/>
        <v>1372</v>
      </c>
      <c r="F776" s="8">
        <f t="shared" si="6"/>
        <v>315.56</v>
      </c>
      <c r="G776" s="9">
        <f t="shared" si="7"/>
        <v>8</v>
      </c>
      <c r="H776" s="7" t="str">
        <f t="shared" si="8"/>
        <v>May</v>
      </c>
      <c r="I776" s="7">
        <f t="shared" si="9"/>
        <v>5</v>
      </c>
    </row>
    <row r="777">
      <c r="A777" s="6">
        <f t="shared" si="1"/>
        <v>45912</v>
      </c>
      <c r="B777" s="7" t="str">
        <f t="shared" si="2"/>
        <v>Monitor</v>
      </c>
      <c r="C777" s="7" t="str">
        <f t="shared" si="3"/>
        <v>Electronics</v>
      </c>
      <c r="D777" s="7" t="str">
        <f t="shared" si="4"/>
        <v>North</v>
      </c>
      <c r="E777" s="8">
        <f t="shared" si="5"/>
        <v>271</v>
      </c>
      <c r="F777" s="8">
        <f t="shared" si="6"/>
        <v>54.2</v>
      </c>
      <c r="G777" s="9">
        <f t="shared" si="7"/>
        <v>7</v>
      </c>
      <c r="H777" s="7" t="str">
        <f t="shared" si="8"/>
        <v>Sep</v>
      </c>
      <c r="I777" s="7">
        <f t="shared" si="9"/>
        <v>9</v>
      </c>
    </row>
    <row r="778">
      <c r="A778" s="6">
        <f t="shared" si="1"/>
        <v>45723</v>
      </c>
      <c r="B778" s="7" t="str">
        <f t="shared" si="2"/>
        <v>Chair</v>
      </c>
      <c r="C778" s="7" t="str">
        <f t="shared" si="3"/>
        <v>Furniture</v>
      </c>
      <c r="D778" s="7" t="str">
        <f t="shared" si="4"/>
        <v>South</v>
      </c>
      <c r="E778" s="8">
        <f t="shared" si="5"/>
        <v>622</v>
      </c>
      <c r="F778" s="8">
        <f t="shared" si="6"/>
        <v>186.6</v>
      </c>
      <c r="G778" s="9">
        <f t="shared" si="7"/>
        <v>4</v>
      </c>
      <c r="H778" s="7" t="str">
        <f t="shared" si="8"/>
        <v>Mar</v>
      </c>
      <c r="I778" s="7">
        <f t="shared" si="9"/>
        <v>3</v>
      </c>
    </row>
    <row r="779">
      <c r="A779" s="6">
        <f t="shared" si="1"/>
        <v>45667</v>
      </c>
      <c r="B779" s="7" t="str">
        <f t="shared" si="2"/>
        <v>Table</v>
      </c>
      <c r="C779" s="7" t="str">
        <f t="shared" si="3"/>
        <v>Furniture</v>
      </c>
      <c r="D779" s="7" t="str">
        <f t="shared" si="4"/>
        <v>West</v>
      </c>
      <c r="E779" s="8">
        <f t="shared" si="5"/>
        <v>1502</v>
      </c>
      <c r="F779" s="8">
        <f t="shared" si="6"/>
        <v>270.36</v>
      </c>
      <c r="G779" s="9">
        <f t="shared" si="7"/>
        <v>6</v>
      </c>
      <c r="H779" s="7" t="str">
        <f t="shared" si="8"/>
        <v>Jan</v>
      </c>
      <c r="I779" s="7">
        <f t="shared" si="9"/>
        <v>1</v>
      </c>
    </row>
    <row r="780">
      <c r="A780" s="6">
        <f t="shared" si="1"/>
        <v>46005</v>
      </c>
      <c r="B780" s="7" t="str">
        <f t="shared" si="2"/>
        <v>Laptop</v>
      </c>
      <c r="C780" s="7" t="str">
        <f t="shared" si="3"/>
        <v>Electronics</v>
      </c>
      <c r="D780" s="7" t="str">
        <f t="shared" si="4"/>
        <v>North</v>
      </c>
      <c r="E780" s="8">
        <f t="shared" si="5"/>
        <v>1536</v>
      </c>
      <c r="F780" s="8">
        <f t="shared" si="6"/>
        <v>291.84</v>
      </c>
      <c r="G780" s="9">
        <f t="shared" si="7"/>
        <v>5</v>
      </c>
      <c r="H780" s="7" t="str">
        <f t="shared" si="8"/>
        <v>Dec</v>
      </c>
      <c r="I780" s="7">
        <f t="shared" si="9"/>
        <v>12</v>
      </c>
    </row>
    <row r="781">
      <c r="A781" s="6">
        <f t="shared" si="1"/>
        <v>46002</v>
      </c>
      <c r="B781" s="7" t="str">
        <f t="shared" si="2"/>
        <v>Tablet</v>
      </c>
      <c r="C781" s="7" t="str">
        <f t="shared" si="3"/>
        <v>Electronics</v>
      </c>
      <c r="D781" s="7" t="str">
        <f t="shared" si="4"/>
        <v>North</v>
      </c>
      <c r="E781" s="8">
        <f t="shared" si="5"/>
        <v>1338</v>
      </c>
      <c r="F781" s="8">
        <f t="shared" si="6"/>
        <v>227.46</v>
      </c>
      <c r="G781" s="9">
        <f t="shared" si="7"/>
        <v>2</v>
      </c>
      <c r="H781" s="7" t="str">
        <f t="shared" si="8"/>
        <v>Dec</v>
      </c>
      <c r="I781" s="7">
        <f t="shared" si="9"/>
        <v>12</v>
      </c>
    </row>
    <row r="782">
      <c r="A782" s="6">
        <f t="shared" si="1"/>
        <v>45679</v>
      </c>
      <c r="B782" s="7" t="str">
        <f t="shared" si="2"/>
        <v>Table</v>
      </c>
      <c r="C782" s="7" t="str">
        <f t="shared" si="3"/>
        <v>Furniture</v>
      </c>
      <c r="D782" s="7" t="str">
        <f t="shared" si="4"/>
        <v>South</v>
      </c>
      <c r="E782" s="8">
        <f t="shared" si="5"/>
        <v>1343</v>
      </c>
      <c r="F782" s="8">
        <f t="shared" si="6"/>
        <v>174.59</v>
      </c>
      <c r="G782" s="9">
        <f t="shared" si="7"/>
        <v>3</v>
      </c>
      <c r="H782" s="7" t="str">
        <f t="shared" si="8"/>
        <v>Jan</v>
      </c>
      <c r="I782" s="7">
        <f t="shared" si="9"/>
        <v>1</v>
      </c>
    </row>
    <row r="783">
      <c r="A783" s="6">
        <f t="shared" si="1"/>
        <v>45927</v>
      </c>
      <c r="B783" s="7" t="str">
        <f t="shared" si="2"/>
        <v>Table</v>
      </c>
      <c r="C783" s="7" t="str">
        <f t="shared" si="3"/>
        <v>Furniture</v>
      </c>
      <c r="D783" s="7" t="str">
        <f t="shared" si="4"/>
        <v>South</v>
      </c>
      <c r="E783" s="8">
        <f t="shared" si="5"/>
        <v>1158</v>
      </c>
      <c r="F783" s="8">
        <f t="shared" si="6"/>
        <v>150.54</v>
      </c>
      <c r="G783" s="9">
        <f t="shared" si="7"/>
        <v>7</v>
      </c>
      <c r="H783" s="7" t="str">
        <f t="shared" si="8"/>
        <v>Sep</v>
      </c>
      <c r="I783" s="7">
        <f t="shared" si="9"/>
        <v>9</v>
      </c>
    </row>
    <row r="784">
      <c r="A784" s="6">
        <f t="shared" si="1"/>
        <v>45998</v>
      </c>
      <c r="B784" s="7" t="str">
        <f t="shared" si="2"/>
        <v>Laptop</v>
      </c>
      <c r="C784" s="7" t="str">
        <f t="shared" si="3"/>
        <v>Electronics</v>
      </c>
      <c r="D784" s="7" t="str">
        <f t="shared" si="4"/>
        <v>West</v>
      </c>
      <c r="E784" s="8">
        <f t="shared" si="5"/>
        <v>931</v>
      </c>
      <c r="F784" s="8">
        <f t="shared" si="6"/>
        <v>214.13</v>
      </c>
      <c r="G784" s="9">
        <f t="shared" si="7"/>
        <v>4</v>
      </c>
      <c r="H784" s="7" t="str">
        <f t="shared" si="8"/>
        <v>Dec</v>
      </c>
      <c r="I784" s="7">
        <f t="shared" si="9"/>
        <v>12</v>
      </c>
    </row>
    <row r="785">
      <c r="A785" s="6">
        <f t="shared" si="1"/>
        <v>45800</v>
      </c>
      <c r="B785" s="7" t="str">
        <f t="shared" si="2"/>
        <v>Laptop</v>
      </c>
      <c r="C785" s="7" t="str">
        <f t="shared" si="3"/>
        <v>Electronics</v>
      </c>
      <c r="D785" s="7" t="str">
        <f t="shared" si="4"/>
        <v>North</v>
      </c>
      <c r="E785" s="8">
        <f t="shared" si="5"/>
        <v>892</v>
      </c>
      <c r="F785" s="8">
        <f t="shared" si="6"/>
        <v>124.88</v>
      </c>
      <c r="G785" s="9">
        <f t="shared" si="7"/>
        <v>6</v>
      </c>
      <c r="H785" s="7" t="str">
        <f t="shared" si="8"/>
        <v>May</v>
      </c>
      <c r="I785" s="7">
        <f t="shared" si="9"/>
        <v>5</v>
      </c>
    </row>
    <row r="786">
      <c r="A786" s="6">
        <f t="shared" si="1"/>
        <v>45916</v>
      </c>
      <c r="B786" s="7" t="str">
        <f t="shared" si="2"/>
        <v>Chair</v>
      </c>
      <c r="C786" s="7" t="str">
        <f t="shared" si="3"/>
        <v>Furniture</v>
      </c>
      <c r="D786" s="7" t="str">
        <f t="shared" si="4"/>
        <v>South</v>
      </c>
      <c r="E786" s="8">
        <f t="shared" si="5"/>
        <v>1505</v>
      </c>
      <c r="F786" s="8">
        <f t="shared" si="6"/>
        <v>376.25</v>
      </c>
      <c r="G786" s="9">
        <f t="shared" si="7"/>
        <v>1</v>
      </c>
      <c r="H786" s="7" t="str">
        <f t="shared" si="8"/>
        <v>Sep</v>
      </c>
      <c r="I786" s="7">
        <f t="shared" si="9"/>
        <v>9</v>
      </c>
    </row>
    <row r="787">
      <c r="A787" s="6">
        <f t="shared" si="1"/>
        <v>45861</v>
      </c>
      <c r="B787" s="7" t="str">
        <f t="shared" si="2"/>
        <v>Tablet</v>
      </c>
      <c r="C787" s="7" t="str">
        <f t="shared" si="3"/>
        <v>Electronics</v>
      </c>
      <c r="D787" s="7" t="str">
        <f t="shared" si="4"/>
        <v>West</v>
      </c>
      <c r="E787" s="8">
        <f t="shared" si="5"/>
        <v>865</v>
      </c>
      <c r="F787" s="8">
        <f t="shared" si="6"/>
        <v>103.8</v>
      </c>
      <c r="G787" s="9">
        <f t="shared" si="7"/>
        <v>6</v>
      </c>
      <c r="H787" s="7" t="str">
        <f t="shared" si="8"/>
        <v>Jul</v>
      </c>
      <c r="I787" s="7">
        <f t="shared" si="9"/>
        <v>7</v>
      </c>
    </row>
    <row r="788">
      <c r="A788" s="6">
        <f t="shared" si="1"/>
        <v>45769</v>
      </c>
      <c r="B788" s="7" t="str">
        <f t="shared" si="2"/>
        <v>Phone</v>
      </c>
      <c r="C788" s="7" t="str">
        <f t="shared" si="3"/>
        <v>Electronics</v>
      </c>
      <c r="D788" s="7" t="str">
        <f t="shared" si="4"/>
        <v>West</v>
      </c>
      <c r="E788" s="8">
        <f t="shared" si="5"/>
        <v>1466</v>
      </c>
      <c r="F788" s="8">
        <f t="shared" si="6"/>
        <v>425.14</v>
      </c>
      <c r="G788" s="9">
        <f t="shared" si="7"/>
        <v>2</v>
      </c>
      <c r="H788" s="7" t="str">
        <f t="shared" si="8"/>
        <v>Apr</v>
      </c>
      <c r="I788" s="7">
        <f t="shared" si="9"/>
        <v>4</v>
      </c>
    </row>
    <row r="789">
      <c r="A789" s="6">
        <f t="shared" si="1"/>
        <v>45915</v>
      </c>
      <c r="B789" s="7" t="str">
        <f t="shared" si="2"/>
        <v>Laptop</v>
      </c>
      <c r="C789" s="7" t="str">
        <f t="shared" si="3"/>
        <v>Electronics</v>
      </c>
      <c r="D789" s="7" t="str">
        <f t="shared" si="4"/>
        <v>West</v>
      </c>
      <c r="E789" s="8">
        <f t="shared" si="5"/>
        <v>1687</v>
      </c>
      <c r="F789" s="8">
        <f t="shared" si="6"/>
        <v>404.88</v>
      </c>
      <c r="G789" s="9">
        <f t="shared" si="7"/>
        <v>6</v>
      </c>
      <c r="H789" s="7" t="str">
        <f t="shared" si="8"/>
        <v>Sep</v>
      </c>
      <c r="I789" s="7">
        <f t="shared" si="9"/>
        <v>9</v>
      </c>
    </row>
    <row r="790">
      <c r="A790" s="6">
        <f t="shared" si="1"/>
        <v>45892</v>
      </c>
      <c r="B790" s="7" t="str">
        <f t="shared" si="2"/>
        <v>Chair</v>
      </c>
      <c r="C790" s="7" t="str">
        <f t="shared" si="3"/>
        <v>Furniture</v>
      </c>
      <c r="D790" s="7" t="str">
        <f t="shared" si="4"/>
        <v>East</v>
      </c>
      <c r="E790" s="8">
        <f t="shared" si="5"/>
        <v>1406</v>
      </c>
      <c r="F790" s="8">
        <f t="shared" si="6"/>
        <v>393.68</v>
      </c>
      <c r="G790" s="9">
        <f t="shared" si="7"/>
        <v>5</v>
      </c>
      <c r="H790" s="7" t="str">
        <f t="shared" si="8"/>
        <v>Aug</v>
      </c>
      <c r="I790" s="7">
        <f t="shared" si="9"/>
        <v>8</v>
      </c>
    </row>
    <row r="791">
      <c r="A791" s="6">
        <f t="shared" si="1"/>
        <v>45817</v>
      </c>
      <c r="B791" s="7" t="str">
        <f t="shared" si="2"/>
        <v>Laptop</v>
      </c>
      <c r="C791" s="7" t="str">
        <f t="shared" si="3"/>
        <v>Electronics</v>
      </c>
      <c r="D791" s="7" t="str">
        <f t="shared" si="4"/>
        <v>East</v>
      </c>
      <c r="E791" s="8">
        <f t="shared" si="5"/>
        <v>514</v>
      </c>
      <c r="F791" s="8">
        <f t="shared" si="6"/>
        <v>51.4</v>
      </c>
      <c r="G791" s="9">
        <f t="shared" si="7"/>
        <v>7</v>
      </c>
      <c r="H791" s="7" t="str">
        <f t="shared" si="8"/>
        <v>Jun</v>
      </c>
      <c r="I791" s="7">
        <f t="shared" si="9"/>
        <v>6</v>
      </c>
    </row>
    <row r="792">
      <c r="A792" s="6">
        <f t="shared" si="1"/>
        <v>45712</v>
      </c>
      <c r="B792" s="7" t="str">
        <f t="shared" si="2"/>
        <v>Table</v>
      </c>
      <c r="C792" s="7" t="str">
        <f t="shared" si="3"/>
        <v>Furniture</v>
      </c>
      <c r="D792" s="7" t="str">
        <f t="shared" si="4"/>
        <v>South</v>
      </c>
      <c r="E792" s="8">
        <f t="shared" si="5"/>
        <v>935</v>
      </c>
      <c r="F792" s="8">
        <f t="shared" si="6"/>
        <v>187</v>
      </c>
      <c r="G792" s="9">
        <f t="shared" si="7"/>
        <v>1</v>
      </c>
      <c r="H792" s="7" t="str">
        <f t="shared" si="8"/>
        <v>Feb</v>
      </c>
      <c r="I792" s="7">
        <f t="shared" si="9"/>
        <v>2</v>
      </c>
    </row>
    <row r="793">
      <c r="A793" s="6">
        <f t="shared" si="1"/>
        <v>45804</v>
      </c>
      <c r="B793" s="7" t="str">
        <f t="shared" si="2"/>
        <v>Chair</v>
      </c>
      <c r="C793" s="7" t="str">
        <f t="shared" si="3"/>
        <v>Furniture</v>
      </c>
      <c r="D793" s="7" t="str">
        <f t="shared" si="4"/>
        <v>North</v>
      </c>
      <c r="E793" s="8">
        <f t="shared" si="5"/>
        <v>1121</v>
      </c>
      <c r="F793" s="8">
        <f t="shared" si="6"/>
        <v>313.88</v>
      </c>
      <c r="G793" s="9">
        <f t="shared" si="7"/>
        <v>7</v>
      </c>
      <c r="H793" s="7" t="str">
        <f t="shared" si="8"/>
        <v>May</v>
      </c>
      <c r="I793" s="7">
        <f t="shared" si="9"/>
        <v>5</v>
      </c>
    </row>
    <row r="794">
      <c r="A794" s="6">
        <f t="shared" si="1"/>
        <v>45995</v>
      </c>
      <c r="B794" s="7" t="str">
        <f t="shared" si="2"/>
        <v>Phone</v>
      </c>
      <c r="C794" s="7" t="str">
        <f t="shared" si="3"/>
        <v>Electronics</v>
      </c>
      <c r="D794" s="7" t="str">
        <f t="shared" si="4"/>
        <v>North</v>
      </c>
      <c r="E794" s="8">
        <f t="shared" si="5"/>
        <v>1886</v>
      </c>
      <c r="F794" s="8">
        <f t="shared" si="6"/>
        <v>188.6</v>
      </c>
      <c r="G794" s="9">
        <f t="shared" si="7"/>
        <v>4</v>
      </c>
      <c r="H794" s="7" t="str">
        <f t="shared" si="8"/>
        <v>Dec</v>
      </c>
      <c r="I794" s="7">
        <f t="shared" si="9"/>
        <v>12</v>
      </c>
    </row>
    <row r="795">
      <c r="A795" s="6">
        <f t="shared" si="1"/>
        <v>45864</v>
      </c>
      <c r="B795" s="7" t="str">
        <f t="shared" si="2"/>
        <v>Tablet</v>
      </c>
      <c r="C795" s="7" t="str">
        <f t="shared" si="3"/>
        <v>Electronics</v>
      </c>
      <c r="D795" s="7" t="str">
        <f t="shared" si="4"/>
        <v>North</v>
      </c>
      <c r="E795" s="8">
        <f t="shared" si="5"/>
        <v>1506</v>
      </c>
      <c r="F795" s="8">
        <f t="shared" si="6"/>
        <v>225.9</v>
      </c>
      <c r="G795" s="9">
        <f t="shared" si="7"/>
        <v>9</v>
      </c>
      <c r="H795" s="7" t="str">
        <f t="shared" si="8"/>
        <v>Jul</v>
      </c>
      <c r="I795" s="7">
        <f t="shared" si="9"/>
        <v>7</v>
      </c>
    </row>
    <row r="796">
      <c r="A796" s="6">
        <f t="shared" si="1"/>
        <v>46021</v>
      </c>
      <c r="B796" s="7" t="str">
        <f t="shared" si="2"/>
        <v>Phone</v>
      </c>
      <c r="C796" s="7" t="str">
        <f t="shared" si="3"/>
        <v>Electronics</v>
      </c>
      <c r="D796" s="7" t="str">
        <f t="shared" si="4"/>
        <v>East</v>
      </c>
      <c r="E796" s="8">
        <f t="shared" si="5"/>
        <v>1630</v>
      </c>
      <c r="F796" s="8">
        <f t="shared" si="6"/>
        <v>489</v>
      </c>
      <c r="G796" s="9">
        <f t="shared" si="7"/>
        <v>7</v>
      </c>
      <c r="H796" s="7" t="str">
        <f t="shared" si="8"/>
        <v>Dec</v>
      </c>
      <c r="I796" s="7">
        <f t="shared" si="9"/>
        <v>12</v>
      </c>
    </row>
    <row r="797">
      <c r="A797" s="6">
        <f t="shared" si="1"/>
        <v>45961</v>
      </c>
      <c r="B797" s="7" t="str">
        <f t="shared" si="2"/>
        <v>Tablet</v>
      </c>
      <c r="C797" s="7" t="str">
        <f t="shared" si="3"/>
        <v>Electronics</v>
      </c>
      <c r="D797" s="7" t="str">
        <f t="shared" si="4"/>
        <v>East</v>
      </c>
      <c r="E797" s="8">
        <f t="shared" si="5"/>
        <v>422</v>
      </c>
      <c r="F797" s="8">
        <f t="shared" si="6"/>
        <v>42.2</v>
      </c>
      <c r="G797" s="9">
        <f t="shared" si="7"/>
        <v>6</v>
      </c>
      <c r="H797" s="7" t="str">
        <f t="shared" si="8"/>
        <v>Oct</v>
      </c>
      <c r="I797" s="7">
        <f t="shared" si="9"/>
        <v>10</v>
      </c>
    </row>
    <row r="798">
      <c r="A798" s="6">
        <f t="shared" si="1"/>
        <v>45829</v>
      </c>
      <c r="B798" s="7" t="str">
        <f t="shared" si="2"/>
        <v>Table</v>
      </c>
      <c r="C798" s="7" t="str">
        <f t="shared" si="3"/>
        <v>Furniture</v>
      </c>
      <c r="D798" s="7" t="str">
        <f t="shared" si="4"/>
        <v>South</v>
      </c>
      <c r="E798" s="8">
        <f t="shared" si="5"/>
        <v>1588</v>
      </c>
      <c r="F798" s="8">
        <f t="shared" si="6"/>
        <v>381.12</v>
      </c>
      <c r="G798" s="9">
        <f t="shared" si="7"/>
        <v>1</v>
      </c>
      <c r="H798" s="7" t="str">
        <f t="shared" si="8"/>
        <v>Jun</v>
      </c>
      <c r="I798" s="7">
        <f t="shared" si="9"/>
        <v>6</v>
      </c>
    </row>
    <row r="799">
      <c r="A799" s="6">
        <f t="shared" si="1"/>
        <v>45753</v>
      </c>
      <c r="B799" s="7" t="str">
        <f t="shared" si="2"/>
        <v>Tablet</v>
      </c>
      <c r="C799" s="7" t="str">
        <f t="shared" si="3"/>
        <v>Electronics</v>
      </c>
      <c r="D799" s="7" t="str">
        <f t="shared" si="4"/>
        <v>West</v>
      </c>
      <c r="E799" s="8">
        <f t="shared" si="5"/>
        <v>1701</v>
      </c>
      <c r="F799" s="8">
        <f t="shared" si="6"/>
        <v>187.11</v>
      </c>
      <c r="G799" s="9">
        <f t="shared" si="7"/>
        <v>2</v>
      </c>
      <c r="H799" s="7" t="str">
        <f t="shared" si="8"/>
        <v>Apr</v>
      </c>
      <c r="I799" s="7">
        <f t="shared" si="9"/>
        <v>4</v>
      </c>
    </row>
    <row r="800">
      <c r="A800" s="6">
        <f t="shared" si="1"/>
        <v>45903</v>
      </c>
      <c r="B800" s="7" t="str">
        <f t="shared" si="2"/>
        <v>Tablet</v>
      </c>
      <c r="C800" s="7" t="str">
        <f t="shared" si="3"/>
        <v>Electronics</v>
      </c>
      <c r="D800" s="7" t="str">
        <f t="shared" si="4"/>
        <v>South</v>
      </c>
      <c r="E800" s="8">
        <f t="shared" si="5"/>
        <v>1229</v>
      </c>
      <c r="F800" s="8">
        <f t="shared" si="6"/>
        <v>208.93</v>
      </c>
      <c r="G800" s="9">
        <f t="shared" si="7"/>
        <v>9</v>
      </c>
      <c r="H800" s="7" t="str">
        <f t="shared" si="8"/>
        <v>Sep</v>
      </c>
      <c r="I800" s="7">
        <f t="shared" si="9"/>
        <v>9</v>
      </c>
    </row>
    <row r="801">
      <c r="A801" s="6">
        <f t="shared" si="1"/>
        <v>45710</v>
      </c>
      <c r="B801" s="7" t="str">
        <f t="shared" si="2"/>
        <v>Table</v>
      </c>
      <c r="C801" s="7" t="str">
        <f t="shared" si="3"/>
        <v>Furniture</v>
      </c>
      <c r="D801" s="7" t="str">
        <f t="shared" si="4"/>
        <v>South</v>
      </c>
      <c r="E801" s="8">
        <f t="shared" si="5"/>
        <v>1469</v>
      </c>
      <c r="F801" s="8">
        <f t="shared" si="6"/>
        <v>176.28</v>
      </c>
      <c r="G801" s="9">
        <f t="shared" si="7"/>
        <v>5</v>
      </c>
      <c r="H801" s="7" t="str">
        <f t="shared" si="8"/>
        <v>Feb</v>
      </c>
      <c r="I801" s="7">
        <f t="shared" si="9"/>
        <v>2</v>
      </c>
    </row>
    <row r="802">
      <c r="A802" s="6">
        <f t="shared" si="1"/>
        <v>46019</v>
      </c>
      <c r="B802" s="7" t="str">
        <f t="shared" si="2"/>
        <v>Chair</v>
      </c>
      <c r="C802" s="7" t="str">
        <f t="shared" si="3"/>
        <v>Furniture</v>
      </c>
      <c r="D802" s="7" t="str">
        <f t="shared" si="4"/>
        <v>North</v>
      </c>
      <c r="E802" s="8">
        <f t="shared" si="5"/>
        <v>528</v>
      </c>
      <c r="F802" s="8">
        <f t="shared" si="6"/>
        <v>68.64</v>
      </c>
      <c r="G802" s="9">
        <f t="shared" si="7"/>
        <v>2</v>
      </c>
      <c r="H802" s="7" t="str">
        <f t="shared" si="8"/>
        <v>Dec</v>
      </c>
      <c r="I802" s="7">
        <f t="shared" si="9"/>
        <v>12</v>
      </c>
    </row>
    <row r="803">
      <c r="A803" s="6">
        <f t="shared" si="1"/>
        <v>45882</v>
      </c>
      <c r="B803" s="7" t="str">
        <f t="shared" si="2"/>
        <v>Chair</v>
      </c>
      <c r="C803" s="7" t="str">
        <f t="shared" si="3"/>
        <v>Furniture</v>
      </c>
      <c r="D803" s="7" t="str">
        <f t="shared" si="4"/>
        <v>North</v>
      </c>
      <c r="E803" s="8">
        <f t="shared" si="5"/>
        <v>509</v>
      </c>
      <c r="F803" s="8">
        <f t="shared" si="6"/>
        <v>61.08</v>
      </c>
      <c r="G803" s="9">
        <f t="shared" si="7"/>
        <v>8</v>
      </c>
      <c r="H803" s="7" t="str">
        <f t="shared" si="8"/>
        <v>Aug</v>
      </c>
      <c r="I803" s="7">
        <f t="shared" si="9"/>
        <v>8</v>
      </c>
    </row>
    <row r="804">
      <c r="A804" s="6">
        <f t="shared" si="1"/>
        <v>45810</v>
      </c>
      <c r="B804" s="7" t="str">
        <f t="shared" si="2"/>
        <v>Chair</v>
      </c>
      <c r="C804" s="7" t="str">
        <f t="shared" si="3"/>
        <v>Furniture</v>
      </c>
      <c r="D804" s="7" t="str">
        <f t="shared" si="4"/>
        <v>South</v>
      </c>
      <c r="E804" s="8">
        <f t="shared" si="5"/>
        <v>1000</v>
      </c>
      <c r="F804" s="8">
        <f t="shared" si="6"/>
        <v>230</v>
      </c>
      <c r="G804" s="9">
        <f t="shared" si="7"/>
        <v>5</v>
      </c>
      <c r="H804" s="7" t="str">
        <f t="shared" si="8"/>
        <v>Jun</v>
      </c>
      <c r="I804" s="7">
        <f t="shared" si="9"/>
        <v>6</v>
      </c>
    </row>
    <row r="805">
      <c r="A805" s="6">
        <f t="shared" si="1"/>
        <v>45711</v>
      </c>
      <c r="B805" s="7" t="str">
        <f t="shared" si="2"/>
        <v>Tablet</v>
      </c>
      <c r="C805" s="7" t="str">
        <f t="shared" si="3"/>
        <v>Electronics</v>
      </c>
      <c r="D805" s="7" t="str">
        <f t="shared" si="4"/>
        <v>North</v>
      </c>
      <c r="E805" s="8">
        <f t="shared" si="5"/>
        <v>612</v>
      </c>
      <c r="F805" s="8">
        <f t="shared" si="6"/>
        <v>153</v>
      </c>
      <c r="G805" s="9">
        <f t="shared" si="7"/>
        <v>1</v>
      </c>
      <c r="H805" s="7" t="str">
        <f t="shared" si="8"/>
        <v>Feb</v>
      </c>
      <c r="I805" s="7">
        <f t="shared" si="9"/>
        <v>2</v>
      </c>
    </row>
    <row r="806">
      <c r="A806" s="6">
        <f t="shared" si="1"/>
        <v>45747</v>
      </c>
      <c r="B806" s="7" t="str">
        <f t="shared" si="2"/>
        <v>Monitor</v>
      </c>
      <c r="C806" s="7" t="str">
        <f t="shared" si="3"/>
        <v>Electronics</v>
      </c>
      <c r="D806" s="7" t="str">
        <f t="shared" si="4"/>
        <v>East</v>
      </c>
      <c r="E806" s="8">
        <f t="shared" si="5"/>
        <v>1044</v>
      </c>
      <c r="F806" s="8">
        <f t="shared" si="6"/>
        <v>208.8</v>
      </c>
      <c r="G806" s="9">
        <f t="shared" si="7"/>
        <v>4</v>
      </c>
      <c r="H806" s="7" t="str">
        <f t="shared" si="8"/>
        <v>Mar</v>
      </c>
      <c r="I806" s="7">
        <f t="shared" si="9"/>
        <v>3</v>
      </c>
    </row>
    <row r="807">
      <c r="A807" s="6">
        <f t="shared" si="1"/>
        <v>45851</v>
      </c>
      <c r="B807" s="7" t="str">
        <f t="shared" si="2"/>
        <v>Monitor</v>
      </c>
      <c r="C807" s="7" t="str">
        <f t="shared" si="3"/>
        <v>Electronics</v>
      </c>
      <c r="D807" s="7" t="str">
        <f t="shared" si="4"/>
        <v>East</v>
      </c>
      <c r="E807" s="8">
        <f t="shared" si="5"/>
        <v>817</v>
      </c>
      <c r="F807" s="8">
        <f t="shared" si="6"/>
        <v>245.1</v>
      </c>
      <c r="G807" s="9">
        <f t="shared" si="7"/>
        <v>3</v>
      </c>
      <c r="H807" s="7" t="str">
        <f t="shared" si="8"/>
        <v>Jul</v>
      </c>
      <c r="I807" s="7">
        <f t="shared" si="9"/>
        <v>7</v>
      </c>
    </row>
    <row r="808">
      <c r="A808" s="6">
        <f t="shared" si="1"/>
        <v>45661</v>
      </c>
      <c r="B808" s="7" t="str">
        <f t="shared" si="2"/>
        <v>Monitor</v>
      </c>
      <c r="C808" s="7" t="str">
        <f t="shared" si="3"/>
        <v>Electronics</v>
      </c>
      <c r="D808" s="7" t="str">
        <f t="shared" si="4"/>
        <v>West</v>
      </c>
      <c r="E808" s="8">
        <f t="shared" si="5"/>
        <v>358</v>
      </c>
      <c r="F808" s="8">
        <f t="shared" si="6"/>
        <v>103.82</v>
      </c>
      <c r="G808" s="9">
        <f t="shared" si="7"/>
        <v>3</v>
      </c>
      <c r="H808" s="7" t="str">
        <f t="shared" si="8"/>
        <v>Jan</v>
      </c>
      <c r="I808" s="7">
        <f t="shared" si="9"/>
        <v>1</v>
      </c>
    </row>
    <row r="809">
      <c r="A809" s="6">
        <f t="shared" si="1"/>
        <v>45666</v>
      </c>
      <c r="B809" s="7" t="str">
        <f t="shared" si="2"/>
        <v>Tablet</v>
      </c>
      <c r="C809" s="7" t="str">
        <f t="shared" si="3"/>
        <v>Electronics</v>
      </c>
      <c r="D809" s="7" t="str">
        <f t="shared" si="4"/>
        <v>West</v>
      </c>
      <c r="E809" s="8">
        <f t="shared" si="5"/>
        <v>307</v>
      </c>
      <c r="F809" s="8">
        <f t="shared" si="6"/>
        <v>33.77</v>
      </c>
      <c r="G809" s="9">
        <f t="shared" si="7"/>
        <v>10</v>
      </c>
      <c r="H809" s="7" t="str">
        <f t="shared" si="8"/>
        <v>Jan</v>
      </c>
      <c r="I809" s="7">
        <f t="shared" si="9"/>
        <v>1</v>
      </c>
    </row>
    <row r="810">
      <c r="A810" s="6">
        <f t="shared" si="1"/>
        <v>46015</v>
      </c>
      <c r="B810" s="7" t="str">
        <f t="shared" si="2"/>
        <v>Phone</v>
      </c>
      <c r="C810" s="7" t="str">
        <f t="shared" si="3"/>
        <v>Electronics</v>
      </c>
      <c r="D810" s="7" t="str">
        <f t="shared" si="4"/>
        <v>South</v>
      </c>
      <c r="E810" s="8">
        <f t="shared" si="5"/>
        <v>561</v>
      </c>
      <c r="F810" s="8">
        <f t="shared" si="6"/>
        <v>95.37</v>
      </c>
      <c r="G810" s="9">
        <f t="shared" si="7"/>
        <v>5</v>
      </c>
      <c r="H810" s="7" t="str">
        <f t="shared" si="8"/>
        <v>Dec</v>
      </c>
      <c r="I810" s="7">
        <f t="shared" si="9"/>
        <v>12</v>
      </c>
    </row>
    <row r="811">
      <c r="A811" s="6">
        <f t="shared" si="1"/>
        <v>45724</v>
      </c>
      <c r="B811" s="7" t="str">
        <f t="shared" si="2"/>
        <v>Phone</v>
      </c>
      <c r="C811" s="7" t="str">
        <f t="shared" si="3"/>
        <v>Electronics</v>
      </c>
      <c r="D811" s="7" t="str">
        <f t="shared" si="4"/>
        <v>East</v>
      </c>
      <c r="E811" s="8">
        <f t="shared" si="5"/>
        <v>759</v>
      </c>
      <c r="F811" s="8">
        <f t="shared" si="6"/>
        <v>227.7</v>
      </c>
      <c r="G811" s="9">
        <f t="shared" si="7"/>
        <v>6</v>
      </c>
      <c r="H811" s="7" t="str">
        <f t="shared" si="8"/>
        <v>Mar</v>
      </c>
      <c r="I811" s="7">
        <f t="shared" si="9"/>
        <v>3</v>
      </c>
    </row>
    <row r="812">
      <c r="A812" s="6">
        <f t="shared" si="1"/>
        <v>45746</v>
      </c>
      <c r="B812" s="7" t="str">
        <f t="shared" si="2"/>
        <v>Phone</v>
      </c>
      <c r="C812" s="7" t="str">
        <f t="shared" si="3"/>
        <v>Electronics</v>
      </c>
      <c r="D812" s="7" t="str">
        <f t="shared" si="4"/>
        <v>North</v>
      </c>
      <c r="E812" s="8">
        <f t="shared" si="5"/>
        <v>232</v>
      </c>
      <c r="F812" s="8">
        <f t="shared" si="6"/>
        <v>41.76</v>
      </c>
      <c r="G812" s="9">
        <f t="shared" si="7"/>
        <v>1</v>
      </c>
      <c r="H812" s="7" t="str">
        <f t="shared" si="8"/>
        <v>Mar</v>
      </c>
      <c r="I812" s="7">
        <f t="shared" si="9"/>
        <v>3</v>
      </c>
    </row>
    <row r="813">
      <c r="A813" s="6">
        <f t="shared" si="1"/>
        <v>45893</v>
      </c>
      <c r="B813" s="7" t="str">
        <f t="shared" si="2"/>
        <v>Chair</v>
      </c>
      <c r="C813" s="7" t="str">
        <f t="shared" si="3"/>
        <v>Furniture</v>
      </c>
      <c r="D813" s="7" t="str">
        <f t="shared" si="4"/>
        <v>South</v>
      </c>
      <c r="E813" s="8">
        <f t="shared" si="5"/>
        <v>1502</v>
      </c>
      <c r="F813" s="8">
        <f t="shared" si="6"/>
        <v>405.54</v>
      </c>
      <c r="G813" s="9">
        <f t="shared" si="7"/>
        <v>7</v>
      </c>
      <c r="H813" s="7" t="str">
        <f t="shared" si="8"/>
        <v>Aug</v>
      </c>
      <c r="I813" s="7">
        <f t="shared" si="9"/>
        <v>8</v>
      </c>
    </row>
    <row r="814">
      <c r="A814" s="6">
        <f t="shared" si="1"/>
        <v>45713</v>
      </c>
      <c r="B814" s="7" t="str">
        <f t="shared" si="2"/>
        <v>Laptop</v>
      </c>
      <c r="C814" s="7" t="str">
        <f t="shared" si="3"/>
        <v>Electronics</v>
      </c>
      <c r="D814" s="7" t="str">
        <f t="shared" si="4"/>
        <v>North</v>
      </c>
      <c r="E814" s="8">
        <f t="shared" si="5"/>
        <v>618</v>
      </c>
      <c r="F814" s="8">
        <f t="shared" si="6"/>
        <v>123.6</v>
      </c>
      <c r="G814" s="9">
        <f t="shared" si="7"/>
        <v>9</v>
      </c>
      <c r="H814" s="7" t="str">
        <f t="shared" si="8"/>
        <v>Feb</v>
      </c>
      <c r="I814" s="7">
        <f t="shared" si="9"/>
        <v>2</v>
      </c>
    </row>
    <row r="815">
      <c r="A815" s="6">
        <f t="shared" si="1"/>
        <v>45676</v>
      </c>
      <c r="B815" s="7" t="str">
        <f t="shared" si="2"/>
        <v>Phone</v>
      </c>
      <c r="C815" s="7" t="str">
        <f t="shared" si="3"/>
        <v>Electronics</v>
      </c>
      <c r="D815" s="7" t="str">
        <f t="shared" si="4"/>
        <v>West</v>
      </c>
      <c r="E815" s="8">
        <f t="shared" si="5"/>
        <v>1646</v>
      </c>
      <c r="F815" s="8">
        <f t="shared" si="6"/>
        <v>181.06</v>
      </c>
      <c r="G815" s="9">
        <f t="shared" si="7"/>
        <v>4</v>
      </c>
      <c r="H815" s="7" t="str">
        <f t="shared" si="8"/>
        <v>Jan</v>
      </c>
      <c r="I815" s="7">
        <f t="shared" si="9"/>
        <v>1</v>
      </c>
    </row>
    <row r="816">
      <c r="A816" s="6">
        <f t="shared" si="1"/>
        <v>45863</v>
      </c>
      <c r="B816" s="7" t="str">
        <f t="shared" si="2"/>
        <v>Chair</v>
      </c>
      <c r="C816" s="7" t="str">
        <f t="shared" si="3"/>
        <v>Furniture</v>
      </c>
      <c r="D816" s="7" t="str">
        <f t="shared" si="4"/>
        <v>South</v>
      </c>
      <c r="E816" s="8">
        <f t="shared" si="5"/>
        <v>1500</v>
      </c>
      <c r="F816" s="8">
        <f t="shared" si="6"/>
        <v>180</v>
      </c>
      <c r="G816" s="9">
        <f t="shared" si="7"/>
        <v>8</v>
      </c>
      <c r="H816" s="7" t="str">
        <f t="shared" si="8"/>
        <v>Jul</v>
      </c>
      <c r="I816" s="7">
        <f t="shared" si="9"/>
        <v>7</v>
      </c>
    </row>
    <row r="817">
      <c r="A817" s="6">
        <f t="shared" si="1"/>
        <v>45713</v>
      </c>
      <c r="B817" s="7" t="str">
        <f t="shared" si="2"/>
        <v>Table</v>
      </c>
      <c r="C817" s="7" t="str">
        <f t="shared" si="3"/>
        <v>Furniture</v>
      </c>
      <c r="D817" s="7" t="str">
        <f t="shared" si="4"/>
        <v>East</v>
      </c>
      <c r="E817" s="8">
        <f t="shared" si="5"/>
        <v>1653</v>
      </c>
      <c r="F817" s="8">
        <f t="shared" si="6"/>
        <v>380.19</v>
      </c>
      <c r="G817" s="9">
        <f t="shared" si="7"/>
        <v>2</v>
      </c>
      <c r="H817" s="7" t="str">
        <f t="shared" si="8"/>
        <v>Feb</v>
      </c>
      <c r="I817" s="7">
        <f t="shared" si="9"/>
        <v>2</v>
      </c>
    </row>
    <row r="818">
      <c r="A818" s="6">
        <f t="shared" si="1"/>
        <v>45845</v>
      </c>
      <c r="B818" s="7" t="str">
        <f t="shared" si="2"/>
        <v>Laptop</v>
      </c>
      <c r="C818" s="7" t="str">
        <f t="shared" si="3"/>
        <v>Electronics</v>
      </c>
      <c r="D818" s="7" t="str">
        <f t="shared" si="4"/>
        <v>East</v>
      </c>
      <c r="E818" s="8">
        <f t="shared" si="5"/>
        <v>1552</v>
      </c>
      <c r="F818" s="8">
        <f t="shared" si="6"/>
        <v>201.76</v>
      </c>
      <c r="G818" s="9">
        <f t="shared" si="7"/>
        <v>4</v>
      </c>
      <c r="H818" s="7" t="str">
        <f t="shared" si="8"/>
        <v>Jul</v>
      </c>
      <c r="I818" s="7">
        <f t="shared" si="9"/>
        <v>7</v>
      </c>
    </row>
    <row r="819">
      <c r="A819" s="6">
        <f t="shared" si="1"/>
        <v>46022</v>
      </c>
      <c r="B819" s="7" t="str">
        <f t="shared" si="2"/>
        <v>Laptop</v>
      </c>
      <c r="C819" s="7" t="str">
        <f t="shared" si="3"/>
        <v>Electronics</v>
      </c>
      <c r="D819" s="7" t="str">
        <f t="shared" si="4"/>
        <v>South</v>
      </c>
      <c r="E819" s="8">
        <f t="shared" si="5"/>
        <v>1710</v>
      </c>
      <c r="F819" s="8">
        <f t="shared" si="6"/>
        <v>444.6</v>
      </c>
      <c r="G819" s="9">
        <f t="shared" si="7"/>
        <v>4</v>
      </c>
      <c r="H819" s="7" t="str">
        <f t="shared" si="8"/>
        <v>Dec</v>
      </c>
      <c r="I819" s="7">
        <f t="shared" si="9"/>
        <v>12</v>
      </c>
    </row>
    <row r="820">
      <c r="A820" s="6">
        <f t="shared" si="1"/>
        <v>45945</v>
      </c>
      <c r="B820" s="7" t="str">
        <f t="shared" si="2"/>
        <v>Monitor</v>
      </c>
      <c r="C820" s="7" t="str">
        <f t="shared" si="3"/>
        <v>Electronics</v>
      </c>
      <c r="D820" s="7" t="str">
        <f t="shared" si="4"/>
        <v>West</v>
      </c>
      <c r="E820" s="8">
        <f t="shared" si="5"/>
        <v>1345</v>
      </c>
      <c r="F820" s="8">
        <f t="shared" si="6"/>
        <v>349.7</v>
      </c>
      <c r="G820" s="9">
        <f t="shared" si="7"/>
        <v>10</v>
      </c>
      <c r="H820" s="7" t="str">
        <f t="shared" si="8"/>
        <v>Oct</v>
      </c>
      <c r="I820" s="7">
        <f t="shared" si="9"/>
        <v>10</v>
      </c>
    </row>
    <row r="821">
      <c r="A821" s="6">
        <f t="shared" si="1"/>
        <v>45777</v>
      </c>
      <c r="B821" s="7" t="str">
        <f t="shared" si="2"/>
        <v>Table</v>
      </c>
      <c r="C821" s="7" t="str">
        <f t="shared" si="3"/>
        <v>Furniture</v>
      </c>
      <c r="D821" s="7" t="str">
        <f t="shared" si="4"/>
        <v>North</v>
      </c>
      <c r="E821" s="8">
        <f t="shared" si="5"/>
        <v>1521</v>
      </c>
      <c r="F821" s="8">
        <f t="shared" si="6"/>
        <v>441.09</v>
      </c>
      <c r="G821" s="9">
        <f t="shared" si="7"/>
        <v>7</v>
      </c>
      <c r="H821" s="7" t="str">
        <f t="shared" si="8"/>
        <v>Apr</v>
      </c>
      <c r="I821" s="7">
        <f t="shared" si="9"/>
        <v>4</v>
      </c>
    </row>
    <row r="822">
      <c r="A822" s="6">
        <f t="shared" si="1"/>
        <v>45746</v>
      </c>
      <c r="B822" s="7" t="str">
        <f t="shared" si="2"/>
        <v>Laptop</v>
      </c>
      <c r="C822" s="7" t="str">
        <f t="shared" si="3"/>
        <v>Electronics</v>
      </c>
      <c r="D822" s="7" t="str">
        <f t="shared" si="4"/>
        <v>East</v>
      </c>
      <c r="E822" s="8">
        <f t="shared" si="5"/>
        <v>1262</v>
      </c>
      <c r="F822" s="8">
        <f t="shared" si="6"/>
        <v>126.2</v>
      </c>
      <c r="G822" s="9">
        <f t="shared" si="7"/>
        <v>1</v>
      </c>
      <c r="H822" s="7" t="str">
        <f t="shared" si="8"/>
        <v>Mar</v>
      </c>
      <c r="I822" s="7">
        <f t="shared" si="9"/>
        <v>3</v>
      </c>
    </row>
    <row r="823">
      <c r="A823" s="6">
        <f t="shared" si="1"/>
        <v>45754</v>
      </c>
      <c r="B823" s="7" t="str">
        <f t="shared" si="2"/>
        <v>Chair</v>
      </c>
      <c r="C823" s="7" t="str">
        <f t="shared" si="3"/>
        <v>Furniture</v>
      </c>
      <c r="D823" s="7" t="str">
        <f t="shared" si="4"/>
        <v>North</v>
      </c>
      <c r="E823" s="8">
        <f t="shared" si="5"/>
        <v>394</v>
      </c>
      <c r="F823" s="8">
        <f t="shared" si="6"/>
        <v>114.26</v>
      </c>
      <c r="G823" s="9">
        <f t="shared" si="7"/>
        <v>2</v>
      </c>
      <c r="H823" s="7" t="str">
        <f t="shared" si="8"/>
        <v>Apr</v>
      </c>
      <c r="I823" s="7">
        <f t="shared" si="9"/>
        <v>4</v>
      </c>
    </row>
    <row r="824">
      <c r="A824" s="6">
        <f t="shared" si="1"/>
        <v>46013</v>
      </c>
      <c r="B824" s="7" t="str">
        <f t="shared" si="2"/>
        <v>Monitor</v>
      </c>
      <c r="C824" s="7" t="str">
        <f t="shared" si="3"/>
        <v>Electronics</v>
      </c>
      <c r="D824" s="7" t="str">
        <f t="shared" si="4"/>
        <v>South</v>
      </c>
      <c r="E824" s="8">
        <f t="shared" si="5"/>
        <v>279</v>
      </c>
      <c r="F824" s="8">
        <f t="shared" si="6"/>
        <v>39.06</v>
      </c>
      <c r="G824" s="9">
        <f t="shared" si="7"/>
        <v>7</v>
      </c>
      <c r="H824" s="7" t="str">
        <f t="shared" si="8"/>
        <v>Dec</v>
      </c>
      <c r="I824" s="7">
        <f t="shared" si="9"/>
        <v>12</v>
      </c>
    </row>
    <row r="825">
      <c r="A825" s="6">
        <f t="shared" si="1"/>
        <v>45805</v>
      </c>
      <c r="B825" s="7" t="str">
        <f t="shared" si="2"/>
        <v>Table</v>
      </c>
      <c r="C825" s="7" t="str">
        <f t="shared" si="3"/>
        <v>Furniture</v>
      </c>
      <c r="D825" s="7" t="str">
        <f t="shared" si="4"/>
        <v>South</v>
      </c>
      <c r="E825" s="8">
        <f t="shared" si="5"/>
        <v>1327</v>
      </c>
      <c r="F825" s="8">
        <f t="shared" si="6"/>
        <v>225.59</v>
      </c>
      <c r="G825" s="9">
        <f t="shared" si="7"/>
        <v>3</v>
      </c>
      <c r="H825" s="7" t="str">
        <f t="shared" si="8"/>
        <v>May</v>
      </c>
      <c r="I825" s="7">
        <f t="shared" si="9"/>
        <v>5</v>
      </c>
    </row>
    <row r="826">
      <c r="A826" s="6">
        <f t="shared" si="1"/>
        <v>45809</v>
      </c>
      <c r="B826" s="7" t="str">
        <f t="shared" si="2"/>
        <v>Monitor</v>
      </c>
      <c r="C826" s="7" t="str">
        <f t="shared" si="3"/>
        <v>Electronics</v>
      </c>
      <c r="D826" s="7" t="str">
        <f t="shared" si="4"/>
        <v>North</v>
      </c>
      <c r="E826" s="8">
        <f t="shared" si="5"/>
        <v>270</v>
      </c>
      <c r="F826" s="8">
        <f t="shared" si="6"/>
        <v>43.2</v>
      </c>
      <c r="G826" s="9">
        <f t="shared" si="7"/>
        <v>1</v>
      </c>
      <c r="H826" s="7" t="str">
        <f t="shared" si="8"/>
        <v>Jun</v>
      </c>
      <c r="I826" s="7">
        <f t="shared" si="9"/>
        <v>6</v>
      </c>
    </row>
    <row r="827">
      <c r="A827" s="6">
        <f t="shared" si="1"/>
        <v>45845</v>
      </c>
      <c r="B827" s="7" t="str">
        <f t="shared" si="2"/>
        <v>Tablet</v>
      </c>
      <c r="C827" s="7" t="str">
        <f t="shared" si="3"/>
        <v>Electronics</v>
      </c>
      <c r="D827" s="7" t="str">
        <f t="shared" si="4"/>
        <v>West</v>
      </c>
      <c r="E827" s="8">
        <f t="shared" si="5"/>
        <v>1158</v>
      </c>
      <c r="F827" s="8">
        <f t="shared" si="6"/>
        <v>347.4</v>
      </c>
      <c r="G827" s="9">
        <f t="shared" si="7"/>
        <v>10</v>
      </c>
      <c r="H827" s="7" t="str">
        <f t="shared" si="8"/>
        <v>Jul</v>
      </c>
      <c r="I827" s="7">
        <f t="shared" si="9"/>
        <v>7</v>
      </c>
    </row>
    <row r="828">
      <c r="A828" s="6">
        <f t="shared" si="1"/>
        <v>45670</v>
      </c>
      <c r="B828" s="7" t="str">
        <f t="shared" si="2"/>
        <v>Monitor</v>
      </c>
      <c r="C828" s="7" t="str">
        <f t="shared" si="3"/>
        <v>Electronics</v>
      </c>
      <c r="D828" s="7" t="str">
        <f t="shared" si="4"/>
        <v>South</v>
      </c>
      <c r="E828" s="8">
        <f t="shared" si="5"/>
        <v>1508</v>
      </c>
      <c r="F828" s="8">
        <f t="shared" si="6"/>
        <v>256.36</v>
      </c>
      <c r="G828" s="9">
        <f t="shared" si="7"/>
        <v>9</v>
      </c>
      <c r="H828" s="7" t="str">
        <f t="shared" si="8"/>
        <v>Jan</v>
      </c>
      <c r="I828" s="7">
        <f t="shared" si="9"/>
        <v>1</v>
      </c>
    </row>
    <row r="829">
      <c r="A829" s="6">
        <f t="shared" si="1"/>
        <v>45927</v>
      </c>
      <c r="B829" s="7" t="str">
        <f t="shared" si="2"/>
        <v>Chair</v>
      </c>
      <c r="C829" s="7" t="str">
        <f t="shared" si="3"/>
        <v>Furniture</v>
      </c>
      <c r="D829" s="7" t="str">
        <f t="shared" si="4"/>
        <v>North</v>
      </c>
      <c r="E829" s="8">
        <f t="shared" si="5"/>
        <v>1034</v>
      </c>
      <c r="F829" s="8">
        <f t="shared" si="6"/>
        <v>186.12</v>
      </c>
      <c r="G829" s="9">
        <f t="shared" si="7"/>
        <v>8</v>
      </c>
      <c r="H829" s="7" t="str">
        <f t="shared" si="8"/>
        <v>Sep</v>
      </c>
      <c r="I829" s="7">
        <f t="shared" si="9"/>
        <v>9</v>
      </c>
    </row>
    <row r="830">
      <c r="A830" s="6">
        <f t="shared" si="1"/>
        <v>45797</v>
      </c>
      <c r="B830" s="7" t="str">
        <f t="shared" si="2"/>
        <v>Phone</v>
      </c>
      <c r="C830" s="7" t="str">
        <f t="shared" si="3"/>
        <v>Electronics</v>
      </c>
      <c r="D830" s="7" t="str">
        <f t="shared" si="4"/>
        <v>North</v>
      </c>
      <c r="E830" s="8">
        <f t="shared" si="5"/>
        <v>488</v>
      </c>
      <c r="F830" s="8">
        <f t="shared" si="6"/>
        <v>58.56</v>
      </c>
      <c r="G830" s="9">
        <f t="shared" si="7"/>
        <v>4</v>
      </c>
      <c r="H830" s="7" t="str">
        <f t="shared" si="8"/>
        <v>May</v>
      </c>
      <c r="I830" s="7">
        <f t="shared" si="9"/>
        <v>5</v>
      </c>
    </row>
    <row r="831">
      <c r="A831" s="6">
        <f t="shared" si="1"/>
        <v>45817</v>
      </c>
      <c r="B831" s="7" t="str">
        <f t="shared" si="2"/>
        <v>Laptop</v>
      </c>
      <c r="C831" s="7" t="str">
        <f t="shared" si="3"/>
        <v>Electronics</v>
      </c>
      <c r="D831" s="7" t="str">
        <f t="shared" si="4"/>
        <v>North</v>
      </c>
      <c r="E831" s="8">
        <f t="shared" si="5"/>
        <v>1952</v>
      </c>
      <c r="F831" s="8">
        <f t="shared" si="6"/>
        <v>351.36</v>
      </c>
      <c r="G831" s="9">
        <f t="shared" si="7"/>
        <v>10</v>
      </c>
      <c r="H831" s="7" t="str">
        <f t="shared" si="8"/>
        <v>Jun</v>
      </c>
      <c r="I831" s="7">
        <f t="shared" si="9"/>
        <v>6</v>
      </c>
    </row>
    <row r="832">
      <c r="A832" s="6">
        <f t="shared" si="1"/>
        <v>45852</v>
      </c>
      <c r="B832" s="7" t="str">
        <f t="shared" si="2"/>
        <v>Tablet</v>
      </c>
      <c r="C832" s="7" t="str">
        <f t="shared" si="3"/>
        <v>Electronics</v>
      </c>
      <c r="D832" s="7" t="str">
        <f t="shared" si="4"/>
        <v>West</v>
      </c>
      <c r="E832" s="8">
        <f t="shared" si="5"/>
        <v>647</v>
      </c>
      <c r="F832" s="8">
        <f t="shared" si="6"/>
        <v>109.99</v>
      </c>
      <c r="G832" s="9">
        <f t="shared" si="7"/>
        <v>8</v>
      </c>
      <c r="H832" s="7" t="str">
        <f t="shared" si="8"/>
        <v>Jul</v>
      </c>
      <c r="I832" s="7">
        <f t="shared" si="9"/>
        <v>7</v>
      </c>
    </row>
    <row r="833">
      <c r="A833" s="6">
        <f t="shared" si="1"/>
        <v>45667</v>
      </c>
      <c r="B833" s="7" t="str">
        <f t="shared" si="2"/>
        <v>Laptop</v>
      </c>
      <c r="C833" s="7" t="str">
        <f t="shared" si="3"/>
        <v>Electronics</v>
      </c>
      <c r="D833" s="7" t="str">
        <f t="shared" si="4"/>
        <v>West</v>
      </c>
      <c r="E833" s="8">
        <f t="shared" si="5"/>
        <v>659</v>
      </c>
      <c r="F833" s="8">
        <f t="shared" si="6"/>
        <v>98.85</v>
      </c>
      <c r="G833" s="9">
        <f t="shared" si="7"/>
        <v>2</v>
      </c>
      <c r="H833" s="7" t="str">
        <f t="shared" si="8"/>
        <v>Jan</v>
      </c>
      <c r="I833" s="7">
        <f t="shared" si="9"/>
        <v>1</v>
      </c>
    </row>
    <row r="834">
      <c r="A834" s="6">
        <f t="shared" si="1"/>
        <v>45857</v>
      </c>
      <c r="B834" s="7" t="str">
        <f t="shared" si="2"/>
        <v>Phone</v>
      </c>
      <c r="C834" s="7" t="str">
        <f t="shared" si="3"/>
        <v>Electronics</v>
      </c>
      <c r="D834" s="7" t="str">
        <f t="shared" si="4"/>
        <v>South</v>
      </c>
      <c r="E834" s="8">
        <f t="shared" si="5"/>
        <v>537</v>
      </c>
      <c r="F834" s="8">
        <f t="shared" si="6"/>
        <v>53.7</v>
      </c>
      <c r="G834" s="9">
        <f t="shared" si="7"/>
        <v>9</v>
      </c>
      <c r="H834" s="7" t="str">
        <f t="shared" si="8"/>
        <v>Jul</v>
      </c>
      <c r="I834" s="7">
        <f t="shared" si="9"/>
        <v>7</v>
      </c>
    </row>
    <row r="835">
      <c r="A835" s="6">
        <f t="shared" si="1"/>
        <v>46008</v>
      </c>
      <c r="B835" s="7" t="str">
        <f t="shared" si="2"/>
        <v>Monitor</v>
      </c>
      <c r="C835" s="7" t="str">
        <f t="shared" si="3"/>
        <v>Electronics</v>
      </c>
      <c r="D835" s="7" t="str">
        <f t="shared" si="4"/>
        <v>North</v>
      </c>
      <c r="E835" s="8">
        <f t="shared" si="5"/>
        <v>1468</v>
      </c>
      <c r="F835" s="8">
        <f t="shared" si="6"/>
        <v>396.36</v>
      </c>
      <c r="G835" s="9">
        <f t="shared" si="7"/>
        <v>3</v>
      </c>
      <c r="H835" s="7" t="str">
        <f t="shared" si="8"/>
        <v>Dec</v>
      </c>
      <c r="I835" s="7">
        <f t="shared" si="9"/>
        <v>12</v>
      </c>
    </row>
    <row r="836">
      <c r="A836" s="6">
        <f t="shared" si="1"/>
        <v>45699</v>
      </c>
      <c r="B836" s="7" t="str">
        <f t="shared" si="2"/>
        <v>Table</v>
      </c>
      <c r="C836" s="7" t="str">
        <f t="shared" si="3"/>
        <v>Furniture</v>
      </c>
      <c r="D836" s="7" t="str">
        <f t="shared" si="4"/>
        <v>South</v>
      </c>
      <c r="E836" s="8">
        <f t="shared" si="5"/>
        <v>371</v>
      </c>
      <c r="F836" s="8">
        <f t="shared" si="6"/>
        <v>37.1</v>
      </c>
      <c r="G836" s="9">
        <f t="shared" si="7"/>
        <v>2</v>
      </c>
      <c r="H836" s="7" t="str">
        <f t="shared" si="8"/>
        <v>Feb</v>
      </c>
      <c r="I836" s="7">
        <f t="shared" si="9"/>
        <v>2</v>
      </c>
    </row>
    <row r="837">
      <c r="A837" s="6">
        <f t="shared" si="1"/>
        <v>45868</v>
      </c>
      <c r="B837" s="7" t="str">
        <f t="shared" si="2"/>
        <v>Table</v>
      </c>
      <c r="C837" s="7" t="str">
        <f t="shared" si="3"/>
        <v>Furniture</v>
      </c>
      <c r="D837" s="7" t="str">
        <f t="shared" si="4"/>
        <v>North</v>
      </c>
      <c r="E837" s="8">
        <f t="shared" si="5"/>
        <v>247</v>
      </c>
      <c r="F837" s="8">
        <f t="shared" si="6"/>
        <v>27.17</v>
      </c>
      <c r="G837" s="9">
        <f t="shared" si="7"/>
        <v>1</v>
      </c>
      <c r="H837" s="7" t="str">
        <f t="shared" si="8"/>
        <v>Jul</v>
      </c>
      <c r="I837" s="7">
        <f t="shared" si="9"/>
        <v>7</v>
      </c>
    </row>
    <row r="838">
      <c r="A838" s="6">
        <f t="shared" si="1"/>
        <v>45707</v>
      </c>
      <c r="B838" s="7" t="str">
        <f t="shared" si="2"/>
        <v>Laptop</v>
      </c>
      <c r="C838" s="7" t="str">
        <f t="shared" si="3"/>
        <v>Electronics</v>
      </c>
      <c r="D838" s="7" t="str">
        <f t="shared" si="4"/>
        <v>West</v>
      </c>
      <c r="E838" s="8">
        <f t="shared" si="5"/>
        <v>1872</v>
      </c>
      <c r="F838" s="8">
        <f t="shared" si="6"/>
        <v>561.6</v>
      </c>
      <c r="G838" s="9">
        <f t="shared" si="7"/>
        <v>3</v>
      </c>
      <c r="H838" s="7" t="str">
        <f t="shared" si="8"/>
        <v>Feb</v>
      </c>
      <c r="I838" s="7">
        <f t="shared" si="9"/>
        <v>2</v>
      </c>
    </row>
    <row r="839">
      <c r="A839" s="6">
        <f t="shared" si="1"/>
        <v>45804</v>
      </c>
      <c r="B839" s="7" t="str">
        <f t="shared" si="2"/>
        <v>Table</v>
      </c>
      <c r="C839" s="7" t="str">
        <f t="shared" si="3"/>
        <v>Furniture</v>
      </c>
      <c r="D839" s="7" t="str">
        <f t="shared" si="4"/>
        <v>North</v>
      </c>
      <c r="E839" s="8">
        <f t="shared" si="5"/>
        <v>1975</v>
      </c>
      <c r="F839" s="8">
        <f t="shared" si="6"/>
        <v>434.5</v>
      </c>
      <c r="G839" s="9">
        <f t="shared" si="7"/>
        <v>4</v>
      </c>
      <c r="H839" s="7" t="str">
        <f t="shared" si="8"/>
        <v>May</v>
      </c>
      <c r="I839" s="7">
        <f t="shared" si="9"/>
        <v>5</v>
      </c>
    </row>
    <row r="840">
      <c r="A840" s="6">
        <f t="shared" si="1"/>
        <v>45829</v>
      </c>
      <c r="B840" s="7" t="str">
        <f t="shared" si="2"/>
        <v>Chair</v>
      </c>
      <c r="C840" s="7" t="str">
        <f t="shared" si="3"/>
        <v>Furniture</v>
      </c>
      <c r="D840" s="7" t="str">
        <f t="shared" si="4"/>
        <v>North</v>
      </c>
      <c r="E840" s="8">
        <f t="shared" si="5"/>
        <v>1065</v>
      </c>
      <c r="F840" s="8">
        <f t="shared" si="6"/>
        <v>308.85</v>
      </c>
      <c r="G840" s="9">
        <f t="shared" si="7"/>
        <v>3</v>
      </c>
      <c r="H840" s="7" t="str">
        <f t="shared" si="8"/>
        <v>Jun</v>
      </c>
      <c r="I840" s="7">
        <f t="shared" si="9"/>
        <v>6</v>
      </c>
    </row>
    <row r="841">
      <c r="A841" s="6">
        <f t="shared" si="1"/>
        <v>45816</v>
      </c>
      <c r="B841" s="7" t="str">
        <f t="shared" si="2"/>
        <v>Phone</v>
      </c>
      <c r="C841" s="7" t="str">
        <f t="shared" si="3"/>
        <v>Electronics</v>
      </c>
      <c r="D841" s="7" t="str">
        <f t="shared" si="4"/>
        <v>South</v>
      </c>
      <c r="E841" s="8">
        <f t="shared" si="5"/>
        <v>1949</v>
      </c>
      <c r="F841" s="8">
        <f t="shared" si="6"/>
        <v>233.88</v>
      </c>
      <c r="G841" s="9">
        <f t="shared" si="7"/>
        <v>4</v>
      </c>
      <c r="H841" s="7" t="str">
        <f t="shared" si="8"/>
        <v>Jun</v>
      </c>
      <c r="I841" s="7">
        <f t="shared" si="9"/>
        <v>6</v>
      </c>
    </row>
    <row r="842">
      <c r="A842" s="6">
        <f t="shared" si="1"/>
        <v>45792</v>
      </c>
      <c r="B842" s="7" t="str">
        <f t="shared" si="2"/>
        <v>Phone</v>
      </c>
      <c r="C842" s="7" t="str">
        <f t="shared" si="3"/>
        <v>Electronics</v>
      </c>
      <c r="D842" s="7" t="str">
        <f t="shared" si="4"/>
        <v>North</v>
      </c>
      <c r="E842" s="8">
        <f t="shared" si="5"/>
        <v>595</v>
      </c>
      <c r="F842" s="8">
        <f t="shared" si="6"/>
        <v>154.7</v>
      </c>
      <c r="G842" s="9">
        <f t="shared" si="7"/>
        <v>8</v>
      </c>
      <c r="H842" s="7" t="str">
        <f t="shared" si="8"/>
        <v>May</v>
      </c>
      <c r="I842" s="7">
        <f t="shared" si="9"/>
        <v>5</v>
      </c>
    </row>
    <row r="843">
      <c r="A843" s="6">
        <f t="shared" si="1"/>
        <v>45836</v>
      </c>
      <c r="B843" s="7" t="str">
        <f t="shared" si="2"/>
        <v>Table</v>
      </c>
      <c r="C843" s="7" t="str">
        <f t="shared" si="3"/>
        <v>Furniture</v>
      </c>
      <c r="D843" s="7" t="str">
        <f t="shared" si="4"/>
        <v>North</v>
      </c>
      <c r="E843" s="8">
        <f t="shared" si="5"/>
        <v>1603</v>
      </c>
      <c r="F843" s="8">
        <f t="shared" si="6"/>
        <v>224.42</v>
      </c>
      <c r="G843" s="9">
        <f t="shared" si="7"/>
        <v>3</v>
      </c>
      <c r="H843" s="7" t="str">
        <f t="shared" si="8"/>
        <v>Jun</v>
      </c>
      <c r="I843" s="7">
        <f t="shared" si="9"/>
        <v>6</v>
      </c>
    </row>
    <row r="844">
      <c r="A844" s="6">
        <f t="shared" si="1"/>
        <v>45745</v>
      </c>
      <c r="B844" s="7" t="str">
        <f t="shared" si="2"/>
        <v>Phone</v>
      </c>
      <c r="C844" s="7" t="str">
        <f t="shared" si="3"/>
        <v>Electronics</v>
      </c>
      <c r="D844" s="7" t="str">
        <f t="shared" si="4"/>
        <v>North</v>
      </c>
      <c r="E844" s="8">
        <f t="shared" si="5"/>
        <v>1179</v>
      </c>
      <c r="F844" s="8">
        <f t="shared" si="6"/>
        <v>165.06</v>
      </c>
      <c r="G844" s="9">
        <f t="shared" si="7"/>
        <v>7</v>
      </c>
      <c r="H844" s="7" t="str">
        <f t="shared" si="8"/>
        <v>Mar</v>
      </c>
      <c r="I844" s="7">
        <f t="shared" si="9"/>
        <v>3</v>
      </c>
    </row>
    <row r="845">
      <c r="A845" s="6">
        <f t="shared" si="1"/>
        <v>45700</v>
      </c>
      <c r="B845" s="7" t="str">
        <f t="shared" si="2"/>
        <v>Laptop</v>
      </c>
      <c r="C845" s="7" t="str">
        <f t="shared" si="3"/>
        <v>Electronics</v>
      </c>
      <c r="D845" s="7" t="str">
        <f t="shared" si="4"/>
        <v>East</v>
      </c>
      <c r="E845" s="8">
        <f t="shared" si="5"/>
        <v>702</v>
      </c>
      <c r="F845" s="8">
        <f t="shared" si="6"/>
        <v>196.56</v>
      </c>
      <c r="G845" s="9">
        <f t="shared" si="7"/>
        <v>7</v>
      </c>
      <c r="H845" s="7" t="str">
        <f t="shared" si="8"/>
        <v>Feb</v>
      </c>
      <c r="I845" s="7">
        <f t="shared" si="9"/>
        <v>2</v>
      </c>
    </row>
    <row r="846">
      <c r="A846" s="6">
        <f t="shared" si="1"/>
        <v>45717</v>
      </c>
      <c r="B846" s="7" t="str">
        <f t="shared" si="2"/>
        <v>Monitor</v>
      </c>
      <c r="C846" s="7" t="str">
        <f t="shared" si="3"/>
        <v>Electronics</v>
      </c>
      <c r="D846" s="7" t="str">
        <f t="shared" si="4"/>
        <v>West</v>
      </c>
      <c r="E846" s="8">
        <f t="shared" si="5"/>
        <v>877</v>
      </c>
      <c r="F846" s="8">
        <f t="shared" si="6"/>
        <v>149.09</v>
      </c>
      <c r="G846" s="9">
        <f t="shared" si="7"/>
        <v>7</v>
      </c>
      <c r="H846" s="7" t="str">
        <f t="shared" si="8"/>
        <v>Mar</v>
      </c>
      <c r="I846" s="7">
        <f t="shared" si="9"/>
        <v>3</v>
      </c>
    </row>
    <row r="847">
      <c r="A847" s="6">
        <f t="shared" si="1"/>
        <v>45890</v>
      </c>
      <c r="B847" s="7" t="str">
        <f t="shared" si="2"/>
        <v>Monitor</v>
      </c>
      <c r="C847" s="7" t="str">
        <f t="shared" si="3"/>
        <v>Electronics</v>
      </c>
      <c r="D847" s="7" t="str">
        <f t="shared" si="4"/>
        <v>South</v>
      </c>
      <c r="E847" s="8">
        <f t="shared" si="5"/>
        <v>958</v>
      </c>
      <c r="F847" s="8">
        <f t="shared" si="6"/>
        <v>220.34</v>
      </c>
      <c r="G847" s="9">
        <f t="shared" si="7"/>
        <v>9</v>
      </c>
      <c r="H847" s="7" t="str">
        <f t="shared" si="8"/>
        <v>Aug</v>
      </c>
      <c r="I847" s="7">
        <f t="shared" si="9"/>
        <v>8</v>
      </c>
    </row>
    <row r="848">
      <c r="A848" s="6">
        <f t="shared" si="1"/>
        <v>45789</v>
      </c>
      <c r="B848" s="7" t="str">
        <f t="shared" si="2"/>
        <v>Laptop</v>
      </c>
      <c r="C848" s="7" t="str">
        <f t="shared" si="3"/>
        <v>Electronics</v>
      </c>
      <c r="D848" s="7" t="str">
        <f t="shared" si="4"/>
        <v>North</v>
      </c>
      <c r="E848" s="8">
        <f t="shared" si="5"/>
        <v>1676</v>
      </c>
      <c r="F848" s="8">
        <f t="shared" si="6"/>
        <v>469.28</v>
      </c>
      <c r="G848" s="9">
        <f t="shared" si="7"/>
        <v>7</v>
      </c>
      <c r="H848" s="7" t="str">
        <f t="shared" si="8"/>
        <v>May</v>
      </c>
      <c r="I848" s="7">
        <f t="shared" si="9"/>
        <v>5</v>
      </c>
    </row>
    <row r="849">
      <c r="A849" s="6">
        <f t="shared" si="1"/>
        <v>46019</v>
      </c>
      <c r="B849" s="7" t="str">
        <f t="shared" si="2"/>
        <v>Phone</v>
      </c>
      <c r="C849" s="7" t="str">
        <f t="shared" si="3"/>
        <v>Electronics</v>
      </c>
      <c r="D849" s="7" t="str">
        <f t="shared" si="4"/>
        <v>South</v>
      </c>
      <c r="E849" s="8">
        <f t="shared" si="5"/>
        <v>1562</v>
      </c>
      <c r="F849" s="8">
        <f t="shared" si="6"/>
        <v>452.98</v>
      </c>
      <c r="G849" s="9">
        <f t="shared" si="7"/>
        <v>7</v>
      </c>
      <c r="H849" s="7" t="str">
        <f t="shared" si="8"/>
        <v>Dec</v>
      </c>
      <c r="I849" s="7">
        <f t="shared" si="9"/>
        <v>12</v>
      </c>
    </row>
    <row r="850">
      <c r="A850" s="6">
        <f t="shared" si="1"/>
        <v>45986</v>
      </c>
      <c r="B850" s="7" t="str">
        <f t="shared" si="2"/>
        <v>Chair</v>
      </c>
      <c r="C850" s="7" t="str">
        <f t="shared" si="3"/>
        <v>Furniture</v>
      </c>
      <c r="D850" s="7" t="str">
        <f t="shared" si="4"/>
        <v>North</v>
      </c>
      <c r="E850" s="8">
        <f t="shared" si="5"/>
        <v>728</v>
      </c>
      <c r="F850" s="8">
        <f t="shared" si="6"/>
        <v>138.32</v>
      </c>
      <c r="G850" s="9">
        <f t="shared" si="7"/>
        <v>2</v>
      </c>
      <c r="H850" s="7" t="str">
        <f t="shared" si="8"/>
        <v>Nov</v>
      </c>
      <c r="I850" s="7">
        <f t="shared" si="9"/>
        <v>11</v>
      </c>
    </row>
    <row r="851">
      <c r="A851" s="6">
        <f t="shared" si="1"/>
        <v>45806</v>
      </c>
      <c r="B851" s="7" t="str">
        <f t="shared" si="2"/>
        <v>Monitor</v>
      </c>
      <c r="C851" s="7" t="str">
        <f t="shared" si="3"/>
        <v>Electronics</v>
      </c>
      <c r="D851" s="7" t="str">
        <f t="shared" si="4"/>
        <v>East</v>
      </c>
      <c r="E851" s="8">
        <f t="shared" si="5"/>
        <v>1737</v>
      </c>
      <c r="F851" s="8">
        <f t="shared" si="6"/>
        <v>191.07</v>
      </c>
      <c r="G851" s="9">
        <f t="shared" si="7"/>
        <v>10</v>
      </c>
      <c r="H851" s="7" t="str">
        <f t="shared" si="8"/>
        <v>May</v>
      </c>
      <c r="I851" s="7">
        <f t="shared" si="9"/>
        <v>5</v>
      </c>
    </row>
    <row r="852">
      <c r="A852" s="6">
        <f t="shared" si="1"/>
        <v>45802</v>
      </c>
      <c r="B852" s="7" t="str">
        <f t="shared" si="2"/>
        <v>Tablet</v>
      </c>
      <c r="C852" s="7" t="str">
        <f t="shared" si="3"/>
        <v>Electronics</v>
      </c>
      <c r="D852" s="7" t="str">
        <f t="shared" si="4"/>
        <v>East</v>
      </c>
      <c r="E852" s="8">
        <f t="shared" si="5"/>
        <v>785</v>
      </c>
      <c r="F852" s="8">
        <f t="shared" si="6"/>
        <v>86.35</v>
      </c>
      <c r="G852" s="9">
        <f t="shared" si="7"/>
        <v>10</v>
      </c>
      <c r="H852" s="7" t="str">
        <f t="shared" si="8"/>
        <v>May</v>
      </c>
      <c r="I852" s="7">
        <f t="shared" si="9"/>
        <v>5</v>
      </c>
    </row>
    <row r="853">
      <c r="A853" s="6">
        <f t="shared" si="1"/>
        <v>45790</v>
      </c>
      <c r="B853" s="7" t="str">
        <f t="shared" si="2"/>
        <v>Tablet</v>
      </c>
      <c r="C853" s="7" t="str">
        <f t="shared" si="3"/>
        <v>Electronics</v>
      </c>
      <c r="D853" s="7" t="str">
        <f t="shared" si="4"/>
        <v>South</v>
      </c>
      <c r="E853" s="8">
        <f t="shared" si="5"/>
        <v>1249</v>
      </c>
      <c r="F853" s="8">
        <f t="shared" si="6"/>
        <v>374.7</v>
      </c>
      <c r="G853" s="9">
        <f t="shared" si="7"/>
        <v>3</v>
      </c>
      <c r="H853" s="7" t="str">
        <f t="shared" si="8"/>
        <v>May</v>
      </c>
      <c r="I853" s="7">
        <f t="shared" si="9"/>
        <v>5</v>
      </c>
    </row>
    <row r="854">
      <c r="A854" s="6">
        <f t="shared" si="1"/>
        <v>46018</v>
      </c>
      <c r="B854" s="7" t="str">
        <f t="shared" si="2"/>
        <v>Monitor</v>
      </c>
      <c r="C854" s="7" t="str">
        <f t="shared" si="3"/>
        <v>Electronics</v>
      </c>
      <c r="D854" s="7" t="str">
        <f t="shared" si="4"/>
        <v>East</v>
      </c>
      <c r="E854" s="8">
        <f t="shared" si="5"/>
        <v>744</v>
      </c>
      <c r="F854" s="8">
        <f t="shared" si="6"/>
        <v>119.04</v>
      </c>
      <c r="G854" s="9">
        <f t="shared" si="7"/>
        <v>4</v>
      </c>
      <c r="H854" s="7" t="str">
        <f t="shared" si="8"/>
        <v>Dec</v>
      </c>
      <c r="I854" s="7">
        <f t="shared" si="9"/>
        <v>12</v>
      </c>
    </row>
    <row r="855">
      <c r="A855" s="6">
        <f t="shared" si="1"/>
        <v>45899</v>
      </c>
      <c r="B855" s="7" t="str">
        <f t="shared" si="2"/>
        <v>Chair</v>
      </c>
      <c r="C855" s="7" t="str">
        <f t="shared" si="3"/>
        <v>Furniture</v>
      </c>
      <c r="D855" s="7" t="str">
        <f t="shared" si="4"/>
        <v>East</v>
      </c>
      <c r="E855" s="8">
        <f t="shared" si="5"/>
        <v>1696</v>
      </c>
      <c r="F855" s="8">
        <f t="shared" si="6"/>
        <v>271.36</v>
      </c>
      <c r="G855" s="9">
        <f t="shared" si="7"/>
        <v>3</v>
      </c>
      <c r="H855" s="7" t="str">
        <f t="shared" si="8"/>
        <v>Aug</v>
      </c>
      <c r="I855" s="7">
        <f t="shared" si="9"/>
        <v>8</v>
      </c>
    </row>
    <row r="856">
      <c r="A856" s="6">
        <f t="shared" si="1"/>
        <v>46023</v>
      </c>
      <c r="B856" s="7" t="str">
        <f t="shared" si="2"/>
        <v>Tablet</v>
      </c>
      <c r="C856" s="7" t="str">
        <f t="shared" si="3"/>
        <v>Electronics</v>
      </c>
      <c r="D856" s="7" t="str">
        <f t="shared" si="4"/>
        <v>North</v>
      </c>
      <c r="E856" s="8">
        <f t="shared" si="5"/>
        <v>810</v>
      </c>
      <c r="F856" s="8">
        <f t="shared" si="6"/>
        <v>89.1</v>
      </c>
      <c r="G856" s="9">
        <f t="shared" si="7"/>
        <v>4</v>
      </c>
      <c r="H856" s="7" t="str">
        <f t="shared" si="8"/>
        <v>Jan</v>
      </c>
      <c r="I856" s="7">
        <f t="shared" si="9"/>
        <v>1</v>
      </c>
    </row>
    <row r="857">
      <c r="A857" s="6">
        <f t="shared" si="1"/>
        <v>45952</v>
      </c>
      <c r="B857" s="7" t="str">
        <f t="shared" si="2"/>
        <v>Monitor</v>
      </c>
      <c r="C857" s="7" t="str">
        <f t="shared" si="3"/>
        <v>Electronics</v>
      </c>
      <c r="D857" s="7" t="str">
        <f t="shared" si="4"/>
        <v>East</v>
      </c>
      <c r="E857" s="8">
        <f t="shared" si="5"/>
        <v>577</v>
      </c>
      <c r="F857" s="8">
        <f t="shared" si="6"/>
        <v>92.32</v>
      </c>
      <c r="G857" s="9">
        <f t="shared" si="7"/>
        <v>7</v>
      </c>
      <c r="H857" s="7" t="str">
        <f t="shared" si="8"/>
        <v>Oct</v>
      </c>
      <c r="I857" s="7">
        <f t="shared" si="9"/>
        <v>10</v>
      </c>
    </row>
    <row r="858">
      <c r="A858" s="6">
        <f t="shared" si="1"/>
        <v>45676</v>
      </c>
      <c r="B858" s="7" t="str">
        <f t="shared" si="2"/>
        <v>Tablet</v>
      </c>
      <c r="C858" s="7" t="str">
        <f t="shared" si="3"/>
        <v>Electronics</v>
      </c>
      <c r="D858" s="7" t="str">
        <f t="shared" si="4"/>
        <v>West</v>
      </c>
      <c r="E858" s="8">
        <f t="shared" si="5"/>
        <v>453</v>
      </c>
      <c r="F858" s="8">
        <f t="shared" si="6"/>
        <v>104.19</v>
      </c>
      <c r="G858" s="9">
        <f t="shared" si="7"/>
        <v>9</v>
      </c>
      <c r="H858" s="7" t="str">
        <f t="shared" si="8"/>
        <v>Jan</v>
      </c>
      <c r="I858" s="7">
        <f t="shared" si="9"/>
        <v>1</v>
      </c>
    </row>
    <row r="859">
      <c r="A859" s="6">
        <f t="shared" si="1"/>
        <v>45856</v>
      </c>
      <c r="B859" s="7" t="str">
        <f t="shared" si="2"/>
        <v>Table</v>
      </c>
      <c r="C859" s="7" t="str">
        <f t="shared" si="3"/>
        <v>Furniture</v>
      </c>
      <c r="D859" s="7" t="str">
        <f t="shared" si="4"/>
        <v>South</v>
      </c>
      <c r="E859" s="8">
        <f t="shared" si="5"/>
        <v>882</v>
      </c>
      <c r="F859" s="8">
        <f t="shared" si="6"/>
        <v>238.14</v>
      </c>
      <c r="G859" s="9">
        <f t="shared" si="7"/>
        <v>8</v>
      </c>
      <c r="H859" s="7" t="str">
        <f t="shared" si="8"/>
        <v>Jul</v>
      </c>
      <c r="I859" s="7">
        <f t="shared" si="9"/>
        <v>7</v>
      </c>
    </row>
    <row r="860">
      <c r="A860" s="6">
        <f t="shared" si="1"/>
        <v>45783</v>
      </c>
      <c r="B860" s="7" t="str">
        <f t="shared" si="2"/>
        <v>Phone</v>
      </c>
      <c r="C860" s="7" t="str">
        <f t="shared" si="3"/>
        <v>Electronics</v>
      </c>
      <c r="D860" s="7" t="str">
        <f t="shared" si="4"/>
        <v>North</v>
      </c>
      <c r="E860" s="8">
        <f t="shared" si="5"/>
        <v>1944</v>
      </c>
      <c r="F860" s="8">
        <f t="shared" si="6"/>
        <v>194.4</v>
      </c>
      <c r="G860" s="9">
        <f t="shared" si="7"/>
        <v>1</v>
      </c>
      <c r="H860" s="7" t="str">
        <f t="shared" si="8"/>
        <v>May</v>
      </c>
      <c r="I860" s="7">
        <f t="shared" si="9"/>
        <v>5</v>
      </c>
    </row>
    <row r="861">
      <c r="A861" s="6">
        <f t="shared" si="1"/>
        <v>45696</v>
      </c>
      <c r="B861" s="7" t="str">
        <f t="shared" si="2"/>
        <v>Monitor</v>
      </c>
      <c r="C861" s="7" t="str">
        <f t="shared" si="3"/>
        <v>Electronics</v>
      </c>
      <c r="D861" s="7" t="str">
        <f t="shared" si="4"/>
        <v>North</v>
      </c>
      <c r="E861" s="8">
        <f t="shared" si="5"/>
        <v>1457</v>
      </c>
      <c r="F861" s="8">
        <f t="shared" si="6"/>
        <v>378.82</v>
      </c>
      <c r="G861" s="9">
        <f t="shared" si="7"/>
        <v>5</v>
      </c>
      <c r="H861" s="7" t="str">
        <f t="shared" si="8"/>
        <v>Feb</v>
      </c>
      <c r="I861" s="7">
        <f t="shared" si="9"/>
        <v>2</v>
      </c>
    </row>
    <row r="862">
      <c r="A862" s="6">
        <f t="shared" si="1"/>
        <v>45735</v>
      </c>
      <c r="B862" s="7" t="str">
        <f t="shared" si="2"/>
        <v>Phone</v>
      </c>
      <c r="C862" s="7" t="str">
        <f t="shared" si="3"/>
        <v>Electronics</v>
      </c>
      <c r="D862" s="7" t="str">
        <f t="shared" si="4"/>
        <v>East</v>
      </c>
      <c r="E862" s="8">
        <f t="shared" si="5"/>
        <v>998</v>
      </c>
      <c r="F862" s="8">
        <f t="shared" si="6"/>
        <v>139.72</v>
      </c>
      <c r="G862" s="9">
        <f t="shared" si="7"/>
        <v>4</v>
      </c>
      <c r="H862" s="7" t="str">
        <f t="shared" si="8"/>
        <v>Mar</v>
      </c>
      <c r="I862" s="7">
        <f t="shared" si="9"/>
        <v>3</v>
      </c>
    </row>
    <row r="863">
      <c r="A863" s="6">
        <f t="shared" si="1"/>
        <v>46017</v>
      </c>
      <c r="B863" s="7" t="str">
        <f t="shared" si="2"/>
        <v>Tablet</v>
      </c>
      <c r="C863" s="7" t="str">
        <f t="shared" si="3"/>
        <v>Electronics</v>
      </c>
      <c r="D863" s="7" t="str">
        <f t="shared" si="4"/>
        <v>North</v>
      </c>
      <c r="E863" s="8">
        <f t="shared" si="5"/>
        <v>1393</v>
      </c>
      <c r="F863" s="8">
        <f t="shared" si="6"/>
        <v>278.6</v>
      </c>
      <c r="G863" s="9">
        <f t="shared" si="7"/>
        <v>5</v>
      </c>
      <c r="H863" s="7" t="str">
        <f t="shared" si="8"/>
        <v>Dec</v>
      </c>
      <c r="I863" s="7">
        <f t="shared" si="9"/>
        <v>12</v>
      </c>
    </row>
    <row r="864">
      <c r="A864" s="6">
        <f t="shared" si="1"/>
        <v>45823</v>
      </c>
      <c r="B864" s="7" t="str">
        <f t="shared" si="2"/>
        <v>Chair</v>
      </c>
      <c r="C864" s="7" t="str">
        <f t="shared" si="3"/>
        <v>Furniture</v>
      </c>
      <c r="D864" s="7" t="str">
        <f t="shared" si="4"/>
        <v>South</v>
      </c>
      <c r="E864" s="8">
        <f t="shared" si="5"/>
        <v>1812</v>
      </c>
      <c r="F864" s="8">
        <f t="shared" si="6"/>
        <v>471.12</v>
      </c>
      <c r="G864" s="9">
        <f t="shared" si="7"/>
        <v>10</v>
      </c>
      <c r="H864" s="7" t="str">
        <f t="shared" si="8"/>
        <v>Jun</v>
      </c>
      <c r="I864" s="7">
        <f t="shared" si="9"/>
        <v>6</v>
      </c>
    </row>
    <row r="865">
      <c r="A865" s="6">
        <f t="shared" si="1"/>
        <v>46005</v>
      </c>
      <c r="B865" s="7" t="str">
        <f t="shared" si="2"/>
        <v>Monitor</v>
      </c>
      <c r="C865" s="7" t="str">
        <f t="shared" si="3"/>
        <v>Electronics</v>
      </c>
      <c r="D865" s="7" t="str">
        <f t="shared" si="4"/>
        <v>North</v>
      </c>
      <c r="E865" s="8">
        <f t="shared" si="5"/>
        <v>1152</v>
      </c>
      <c r="F865" s="8">
        <f t="shared" si="6"/>
        <v>230.4</v>
      </c>
      <c r="G865" s="9">
        <f t="shared" si="7"/>
        <v>3</v>
      </c>
      <c r="H865" s="7" t="str">
        <f t="shared" si="8"/>
        <v>Dec</v>
      </c>
      <c r="I865" s="7">
        <f t="shared" si="9"/>
        <v>12</v>
      </c>
    </row>
    <row r="866">
      <c r="A866" s="6">
        <f t="shared" si="1"/>
        <v>45879</v>
      </c>
      <c r="B866" s="7" t="str">
        <f t="shared" si="2"/>
        <v>Monitor</v>
      </c>
      <c r="C866" s="7" t="str">
        <f t="shared" si="3"/>
        <v>Electronics</v>
      </c>
      <c r="D866" s="7" t="str">
        <f t="shared" si="4"/>
        <v>South</v>
      </c>
      <c r="E866" s="8">
        <f t="shared" si="5"/>
        <v>1909</v>
      </c>
      <c r="F866" s="8">
        <f t="shared" si="6"/>
        <v>477.25</v>
      </c>
      <c r="G866" s="9">
        <f t="shared" si="7"/>
        <v>10</v>
      </c>
      <c r="H866" s="7" t="str">
        <f t="shared" si="8"/>
        <v>Aug</v>
      </c>
      <c r="I866" s="7">
        <f t="shared" si="9"/>
        <v>8</v>
      </c>
    </row>
    <row r="867">
      <c r="A867" s="6">
        <f t="shared" si="1"/>
        <v>45724</v>
      </c>
      <c r="B867" s="7" t="str">
        <f t="shared" si="2"/>
        <v>Table</v>
      </c>
      <c r="C867" s="7" t="str">
        <f t="shared" si="3"/>
        <v>Furniture</v>
      </c>
      <c r="D867" s="7" t="str">
        <f t="shared" si="4"/>
        <v>North</v>
      </c>
      <c r="E867" s="8">
        <f t="shared" si="5"/>
        <v>809</v>
      </c>
      <c r="F867" s="8">
        <f t="shared" si="6"/>
        <v>137.53</v>
      </c>
      <c r="G867" s="9">
        <f t="shared" si="7"/>
        <v>5</v>
      </c>
      <c r="H867" s="7" t="str">
        <f t="shared" si="8"/>
        <v>Mar</v>
      </c>
      <c r="I867" s="7">
        <f t="shared" si="9"/>
        <v>3</v>
      </c>
    </row>
    <row r="868">
      <c r="A868" s="6">
        <f t="shared" si="1"/>
        <v>45907</v>
      </c>
      <c r="B868" s="7" t="str">
        <f t="shared" si="2"/>
        <v>Tablet</v>
      </c>
      <c r="C868" s="7" t="str">
        <f t="shared" si="3"/>
        <v>Electronics</v>
      </c>
      <c r="D868" s="7" t="str">
        <f t="shared" si="4"/>
        <v>North</v>
      </c>
      <c r="E868" s="8">
        <f t="shared" si="5"/>
        <v>676</v>
      </c>
      <c r="F868" s="8">
        <f t="shared" si="6"/>
        <v>175.76</v>
      </c>
      <c r="G868" s="9">
        <f t="shared" si="7"/>
        <v>1</v>
      </c>
      <c r="H868" s="7" t="str">
        <f t="shared" si="8"/>
        <v>Sep</v>
      </c>
      <c r="I868" s="7">
        <f t="shared" si="9"/>
        <v>9</v>
      </c>
    </row>
    <row r="869">
      <c r="A869" s="6">
        <f t="shared" si="1"/>
        <v>45791</v>
      </c>
      <c r="B869" s="7" t="str">
        <f t="shared" si="2"/>
        <v>Tablet</v>
      </c>
      <c r="C869" s="7" t="str">
        <f t="shared" si="3"/>
        <v>Electronics</v>
      </c>
      <c r="D869" s="7" t="str">
        <f t="shared" si="4"/>
        <v>North</v>
      </c>
      <c r="E869" s="8">
        <f t="shared" si="5"/>
        <v>645</v>
      </c>
      <c r="F869" s="8">
        <f t="shared" si="6"/>
        <v>83.85</v>
      </c>
      <c r="G869" s="9">
        <f t="shared" si="7"/>
        <v>6</v>
      </c>
      <c r="H869" s="7" t="str">
        <f t="shared" si="8"/>
        <v>May</v>
      </c>
      <c r="I869" s="7">
        <f t="shared" si="9"/>
        <v>5</v>
      </c>
    </row>
    <row r="870">
      <c r="A870" s="6">
        <f t="shared" si="1"/>
        <v>45874</v>
      </c>
      <c r="B870" s="7" t="str">
        <f t="shared" si="2"/>
        <v>Table</v>
      </c>
      <c r="C870" s="7" t="str">
        <f t="shared" si="3"/>
        <v>Furniture</v>
      </c>
      <c r="D870" s="7" t="str">
        <f t="shared" si="4"/>
        <v>South</v>
      </c>
      <c r="E870" s="8">
        <f t="shared" si="5"/>
        <v>620</v>
      </c>
      <c r="F870" s="8">
        <f t="shared" si="6"/>
        <v>130.2</v>
      </c>
      <c r="G870" s="9">
        <f t="shared" si="7"/>
        <v>5</v>
      </c>
      <c r="H870" s="7" t="str">
        <f t="shared" si="8"/>
        <v>Aug</v>
      </c>
      <c r="I870" s="7">
        <f t="shared" si="9"/>
        <v>8</v>
      </c>
    </row>
    <row r="871">
      <c r="A871" s="6">
        <f t="shared" si="1"/>
        <v>45713</v>
      </c>
      <c r="B871" s="7" t="str">
        <f t="shared" si="2"/>
        <v>Laptop</v>
      </c>
      <c r="C871" s="7" t="str">
        <f t="shared" si="3"/>
        <v>Electronics</v>
      </c>
      <c r="D871" s="7" t="str">
        <f t="shared" si="4"/>
        <v>West</v>
      </c>
      <c r="E871" s="8">
        <f t="shared" si="5"/>
        <v>929</v>
      </c>
      <c r="F871" s="8">
        <f t="shared" si="6"/>
        <v>148.64</v>
      </c>
      <c r="G871" s="9">
        <f t="shared" si="7"/>
        <v>4</v>
      </c>
      <c r="H871" s="7" t="str">
        <f t="shared" si="8"/>
        <v>Feb</v>
      </c>
      <c r="I871" s="7">
        <f t="shared" si="9"/>
        <v>2</v>
      </c>
    </row>
    <row r="872">
      <c r="A872" s="6">
        <f t="shared" si="1"/>
        <v>45718</v>
      </c>
      <c r="B872" s="7" t="str">
        <f t="shared" si="2"/>
        <v>Chair</v>
      </c>
      <c r="C872" s="7" t="str">
        <f t="shared" si="3"/>
        <v>Furniture</v>
      </c>
      <c r="D872" s="7" t="str">
        <f t="shared" si="4"/>
        <v>West</v>
      </c>
      <c r="E872" s="8">
        <f t="shared" si="5"/>
        <v>1211</v>
      </c>
      <c r="F872" s="8">
        <f t="shared" si="6"/>
        <v>314.86</v>
      </c>
      <c r="G872" s="9">
        <f t="shared" si="7"/>
        <v>6</v>
      </c>
      <c r="H872" s="7" t="str">
        <f t="shared" si="8"/>
        <v>Mar</v>
      </c>
      <c r="I872" s="7">
        <f t="shared" si="9"/>
        <v>3</v>
      </c>
    </row>
    <row r="873">
      <c r="A873" s="6">
        <f t="shared" si="1"/>
        <v>45856</v>
      </c>
      <c r="B873" s="7" t="str">
        <f t="shared" si="2"/>
        <v>Laptop</v>
      </c>
      <c r="C873" s="7" t="str">
        <f t="shared" si="3"/>
        <v>Electronics</v>
      </c>
      <c r="D873" s="7" t="str">
        <f t="shared" si="4"/>
        <v>South</v>
      </c>
      <c r="E873" s="8">
        <f t="shared" si="5"/>
        <v>432</v>
      </c>
      <c r="F873" s="8">
        <f t="shared" si="6"/>
        <v>60.48</v>
      </c>
      <c r="G873" s="9">
        <f t="shared" si="7"/>
        <v>7</v>
      </c>
      <c r="H873" s="7" t="str">
        <f t="shared" si="8"/>
        <v>Jul</v>
      </c>
      <c r="I873" s="7">
        <f t="shared" si="9"/>
        <v>7</v>
      </c>
    </row>
    <row r="874">
      <c r="A874" s="6">
        <f t="shared" si="1"/>
        <v>45740</v>
      </c>
      <c r="B874" s="7" t="str">
        <f t="shared" si="2"/>
        <v>Monitor</v>
      </c>
      <c r="C874" s="7" t="str">
        <f t="shared" si="3"/>
        <v>Electronics</v>
      </c>
      <c r="D874" s="7" t="str">
        <f t="shared" si="4"/>
        <v>South</v>
      </c>
      <c r="E874" s="8">
        <f t="shared" si="5"/>
        <v>468</v>
      </c>
      <c r="F874" s="8">
        <f t="shared" si="6"/>
        <v>121.68</v>
      </c>
      <c r="G874" s="9">
        <f t="shared" si="7"/>
        <v>4</v>
      </c>
      <c r="H874" s="7" t="str">
        <f t="shared" si="8"/>
        <v>Mar</v>
      </c>
      <c r="I874" s="7">
        <f t="shared" si="9"/>
        <v>3</v>
      </c>
    </row>
    <row r="875">
      <c r="A875" s="6">
        <f t="shared" si="1"/>
        <v>45714</v>
      </c>
      <c r="B875" s="7" t="str">
        <f t="shared" si="2"/>
        <v>Table</v>
      </c>
      <c r="C875" s="7" t="str">
        <f t="shared" si="3"/>
        <v>Furniture</v>
      </c>
      <c r="D875" s="7" t="str">
        <f t="shared" si="4"/>
        <v>East</v>
      </c>
      <c r="E875" s="8">
        <f t="shared" si="5"/>
        <v>1198</v>
      </c>
      <c r="F875" s="8">
        <f t="shared" si="6"/>
        <v>251.58</v>
      </c>
      <c r="G875" s="9">
        <f t="shared" si="7"/>
        <v>10</v>
      </c>
      <c r="H875" s="7" t="str">
        <f t="shared" si="8"/>
        <v>Feb</v>
      </c>
      <c r="I875" s="7">
        <f t="shared" si="9"/>
        <v>2</v>
      </c>
    </row>
    <row r="876">
      <c r="A876" s="6">
        <f t="shared" si="1"/>
        <v>45670</v>
      </c>
      <c r="B876" s="7" t="str">
        <f t="shared" si="2"/>
        <v>Tablet</v>
      </c>
      <c r="C876" s="7" t="str">
        <f t="shared" si="3"/>
        <v>Electronics</v>
      </c>
      <c r="D876" s="7" t="str">
        <f t="shared" si="4"/>
        <v>North</v>
      </c>
      <c r="E876" s="8">
        <f t="shared" si="5"/>
        <v>983</v>
      </c>
      <c r="F876" s="8">
        <f t="shared" si="6"/>
        <v>176.94</v>
      </c>
      <c r="G876" s="9">
        <f t="shared" si="7"/>
        <v>1</v>
      </c>
      <c r="H876" s="7" t="str">
        <f t="shared" si="8"/>
        <v>Jan</v>
      </c>
      <c r="I876" s="7">
        <f t="shared" si="9"/>
        <v>1</v>
      </c>
    </row>
    <row r="877">
      <c r="A877" s="6">
        <f t="shared" si="1"/>
        <v>45982</v>
      </c>
      <c r="B877" s="7" t="str">
        <f t="shared" si="2"/>
        <v>Chair</v>
      </c>
      <c r="C877" s="7" t="str">
        <f t="shared" si="3"/>
        <v>Furniture</v>
      </c>
      <c r="D877" s="7" t="str">
        <f t="shared" si="4"/>
        <v>West</v>
      </c>
      <c r="E877" s="8">
        <f t="shared" si="5"/>
        <v>982</v>
      </c>
      <c r="F877" s="8">
        <f t="shared" si="6"/>
        <v>186.58</v>
      </c>
      <c r="G877" s="9">
        <f t="shared" si="7"/>
        <v>8</v>
      </c>
      <c r="H877" s="7" t="str">
        <f t="shared" si="8"/>
        <v>Nov</v>
      </c>
      <c r="I877" s="7">
        <f t="shared" si="9"/>
        <v>11</v>
      </c>
    </row>
    <row r="878">
      <c r="A878" s="6">
        <f t="shared" si="1"/>
        <v>45828</v>
      </c>
      <c r="B878" s="7" t="str">
        <f t="shared" si="2"/>
        <v>Laptop</v>
      </c>
      <c r="C878" s="7" t="str">
        <f t="shared" si="3"/>
        <v>Electronics</v>
      </c>
      <c r="D878" s="7" t="str">
        <f t="shared" si="4"/>
        <v>West</v>
      </c>
      <c r="E878" s="8">
        <f t="shared" si="5"/>
        <v>741</v>
      </c>
      <c r="F878" s="8">
        <f t="shared" si="6"/>
        <v>214.89</v>
      </c>
      <c r="G878" s="9">
        <f t="shared" si="7"/>
        <v>5</v>
      </c>
      <c r="H878" s="7" t="str">
        <f t="shared" si="8"/>
        <v>Jun</v>
      </c>
      <c r="I878" s="7">
        <f t="shared" si="9"/>
        <v>6</v>
      </c>
    </row>
    <row r="879">
      <c r="A879" s="6">
        <f t="shared" si="1"/>
        <v>45887</v>
      </c>
      <c r="B879" s="7" t="str">
        <f t="shared" si="2"/>
        <v>Laptop</v>
      </c>
      <c r="C879" s="7" t="str">
        <f t="shared" si="3"/>
        <v>Electronics</v>
      </c>
      <c r="D879" s="7" t="str">
        <f t="shared" si="4"/>
        <v>North</v>
      </c>
      <c r="E879" s="8">
        <f t="shared" si="5"/>
        <v>241</v>
      </c>
      <c r="F879" s="8">
        <f t="shared" si="6"/>
        <v>43.38</v>
      </c>
      <c r="G879" s="9">
        <f t="shared" si="7"/>
        <v>9</v>
      </c>
      <c r="H879" s="7" t="str">
        <f t="shared" si="8"/>
        <v>Aug</v>
      </c>
      <c r="I879" s="7">
        <f t="shared" si="9"/>
        <v>8</v>
      </c>
    </row>
    <row r="880">
      <c r="A880" s="6">
        <f t="shared" si="1"/>
        <v>45758</v>
      </c>
      <c r="B880" s="7" t="str">
        <f t="shared" si="2"/>
        <v>Monitor</v>
      </c>
      <c r="C880" s="7" t="str">
        <f t="shared" si="3"/>
        <v>Electronics</v>
      </c>
      <c r="D880" s="7" t="str">
        <f t="shared" si="4"/>
        <v>North</v>
      </c>
      <c r="E880" s="8">
        <f t="shared" si="5"/>
        <v>1760</v>
      </c>
      <c r="F880" s="8">
        <f t="shared" si="6"/>
        <v>492.8</v>
      </c>
      <c r="G880" s="9">
        <f t="shared" si="7"/>
        <v>3</v>
      </c>
      <c r="H880" s="7" t="str">
        <f t="shared" si="8"/>
        <v>Apr</v>
      </c>
      <c r="I880" s="7">
        <f t="shared" si="9"/>
        <v>4</v>
      </c>
    </row>
    <row r="881">
      <c r="A881" s="6">
        <f t="shared" si="1"/>
        <v>45886</v>
      </c>
      <c r="B881" s="7" t="str">
        <f t="shared" si="2"/>
        <v>Laptop</v>
      </c>
      <c r="C881" s="7" t="str">
        <f t="shared" si="3"/>
        <v>Electronics</v>
      </c>
      <c r="D881" s="7" t="str">
        <f t="shared" si="4"/>
        <v>West</v>
      </c>
      <c r="E881" s="8">
        <f t="shared" si="5"/>
        <v>1464</v>
      </c>
      <c r="F881" s="8">
        <f t="shared" si="6"/>
        <v>380.64</v>
      </c>
      <c r="G881" s="9">
        <f t="shared" si="7"/>
        <v>4</v>
      </c>
      <c r="H881" s="7" t="str">
        <f t="shared" si="8"/>
        <v>Aug</v>
      </c>
      <c r="I881" s="7">
        <f t="shared" si="9"/>
        <v>8</v>
      </c>
    </row>
    <row r="882">
      <c r="A882" s="6">
        <f t="shared" si="1"/>
        <v>45771</v>
      </c>
      <c r="B882" s="7" t="str">
        <f t="shared" si="2"/>
        <v>Chair</v>
      </c>
      <c r="C882" s="7" t="str">
        <f t="shared" si="3"/>
        <v>Furniture</v>
      </c>
      <c r="D882" s="7" t="str">
        <f t="shared" si="4"/>
        <v>South</v>
      </c>
      <c r="E882" s="8">
        <f t="shared" si="5"/>
        <v>1707</v>
      </c>
      <c r="F882" s="8">
        <f t="shared" si="6"/>
        <v>170.7</v>
      </c>
      <c r="G882" s="9">
        <f t="shared" si="7"/>
        <v>5</v>
      </c>
      <c r="H882" s="7" t="str">
        <f t="shared" si="8"/>
        <v>Apr</v>
      </c>
      <c r="I882" s="7">
        <f t="shared" si="9"/>
        <v>4</v>
      </c>
    </row>
    <row r="883">
      <c r="A883" s="6">
        <f t="shared" si="1"/>
        <v>46018</v>
      </c>
      <c r="B883" s="7" t="str">
        <f t="shared" si="2"/>
        <v>Table</v>
      </c>
      <c r="C883" s="7" t="str">
        <f t="shared" si="3"/>
        <v>Furniture</v>
      </c>
      <c r="D883" s="7" t="str">
        <f t="shared" si="4"/>
        <v>East</v>
      </c>
      <c r="E883" s="8">
        <f t="shared" si="5"/>
        <v>1993</v>
      </c>
      <c r="F883" s="8">
        <f t="shared" si="6"/>
        <v>358.74</v>
      </c>
      <c r="G883" s="9">
        <f t="shared" si="7"/>
        <v>6</v>
      </c>
      <c r="H883" s="7" t="str">
        <f t="shared" si="8"/>
        <v>Dec</v>
      </c>
      <c r="I883" s="7">
        <f t="shared" si="9"/>
        <v>12</v>
      </c>
    </row>
    <row r="884">
      <c r="A884" s="6">
        <f t="shared" si="1"/>
        <v>45886</v>
      </c>
      <c r="B884" s="7" t="str">
        <f t="shared" si="2"/>
        <v>Monitor</v>
      </c>
      <c r="C884" s="7" t="str">
        <f t="shared" si="3"/>
        <v>Electronics</v>
      </c>
      <c r="D884" s="7" t="str">
        <f t="shared" si="4"/>
        <v>North</v>
      </c>
      <c r="E884" s="8">
        <f t="shared" si="5"/>
        <v>1621</v>
      </c>
      <c r="F884" s="8">
        <f t="shared" si="6"/>
        <v>372.83</v>
      </c>
      <c r="G884" s="9">
        <f t="shared" si="7"/>
        <v>9</v>
      </c>
      <c r="H884" s="7" t="str">
        <f t="shared" si="8"/>
        <v>Aug</v>
      </c>
      <c r="I884" s="7">
        <f t="shared" si="9"/>
        <v>8</v>
      </c>
    </row>
    <row r="885">
      <c r="A885" s="6">
        <f t="shared" si="1"/>
        <v>45892</v>
      </c>
      <c r="B885" s="7" t="str">
        <f t="shared" si="2"/>
        <v>Tablet</v>
      </c>
      <c r="C885" s="7" t="str">
        <f t="shared" si="3"/>
        <v>Electronics</v>
      </c>
      <c r="D885" s="7" t="str">
        <f t="shared" si="4"/>
        <v>West</v>
      </c>
      <c r="E885" s="8">
        <f t="shared" si="5"/>
        <v>1950</v>
      </c>
      <c r="F885" s="8">
        <f t="shared" si="6"/>
        <v>507</v>
      </c>
      <c r="G885" s="9">
        <f t="shared" si="7"/>
        <v>3</v>
      </c>
      <c r="H885" s="7" t="str">
        <f t="shared" si="8"/>
        <v>Aug</v>
      </c>
      <c r="I885" s="7">
        <f t="shared" si="9"/>
        <v>8</v>
      </c>
    </row>
    <row r="886">
      <c r="A886" s="6">
        <f t="shared" si="1"/>
        <v>45835</v>
      </c>
      <c r="B886" s="7" t="str">
        <f t="shared" si="2"/>
        <v>Laptop</v>
      </c>
      <c r="C886" s="7" t="str">
        <f t="shared" si="3"/>
        <v>Electronics</v>
      </c>
      <c r="D886" s="7" t="str">
        <f t="shared" si="4"/>
        <v>South</v>
      </c>
      <c r="E886" s="8">
        <f t="shared" si="5"/>
        <v>1197</v>
      </c>
      <c r="F886" s="8">
        <f t="shared" si="6"/>
        <v>143.64</v>
      </c>
      <c r="G886" s="9">
        <f t="shared" si="7"/>
        <v>2</v>
      </c>
      <c r="H886" s="7" t="str">
        <f t="shared" si="8"/>
        <v>Jun</v>
      </c>
      <c r="I886" s="7">
        <f t="shared" si="9"/>
        <v>6</v>
      </c>
    </row>
    <row r="887">
      <c r="A887" s="6">
        <f t="shared" si="1"/>
        <v>45835</v>
      </c>
      <c r="B887" s="7" t="str">
        <f t="shared" si="2"/>
        <v>Monitor</v>
      </c>
      <c r="C887" s="7" t="str">
        <f t="shared" si="3"/>
        <v>Electronics</v>
      </c>
      <c r="D887" s="7" t="str">
        <f t="shared" si="4"/>
        <v>East</v>
      </c>
      <c r="E887" s="8">
        <f t="shared" si="5"/>
        <v>1414</v>
      </c>
      <c r="F887" s="8">
        <f t="shared" si="6"/>
        <v>353.5</v>
      </c>
      <c r="G887" s="9">
        <f t="shared" si="7"/>
        <v>5</v>
      </c>
      <c r="H887" s="7" t="str">
        <f t="shared" si="8"/>
        <v>Jun</v>
      </c>
      <c r="I887" s="7">
        <f t="shared" si="9"/>
        <v>6</v>
      </c>
    </row>
    <row r="888">
      <c r="A888" s="6">
        <f t="shared" si="1"/>
        <v>45877</v>
      </c>
      <c r="B888" s="7" t="str">
        <f t="shared" si="2"/>
        <v>Tablet</v>
      </c>
      <c r="C888" s="7" t="str">
        <f t="shared" si="3"/>
        <v>Electronics</v>
      </c>
      <c r="D888" s="7" t="str">
        <f t="shared" si="4"/>
        <v>South</v>
      </c>
      <c r="E888" s="8">
        <f t="shared" si="5"/>
        <v>628</v>
      </c>
      <c r="F888" s="8">
        <f t="shared" si="6"/>
        <v>157</v>
      </c>
      <c r="G888" s="9">
        <f t="shared" si="7"/>
        <v>3</v>
      </c>
      <c r="H888" s="7" t="str">
        <f t="shared" si="8"/>
        <v>Aug</v>
      </c>
      <c r="I888" s="7">
        <f t="shared" si="9"/>
        <v>8</v>
      </c>
    </row>
    <row r="889">
      <c r="A889" s="6">
        <f t="shared" si="1"/>
        <v>45960</v>
      </c>
      <c r="B889" s="7" t="str">
        <f t="shared" si="2"/>
        <v>Laptop</v>
      </c>
      <c r="C889" s="7" t="str">
        <f t="shared" si="3"/>
        <v>Electronics</v>
      </c>
      <c r="D889" s="7" t="str">
        <f t="shared" si="4"/>
        <v>North</v>
      </c>
      <c r="E889" s="8">
        <f t="shared" si="5"/>
        <v>1642</v>
      </c>
      <c r="F889" s="8">
        <f t="shared" si="6"/>
        <v>213.46</v>
      </c>
      <c r="G889" s="9">
        <f t="shared" si="7"/>
        <v>7</v>
      </c>
      <c r="H889" s="7" t="str">
        <f t="shared" si="8"/>
        <v>Oct</v>
      </c>
      <c r="I889" s="7">
        <f t="shared" si="9"/>
        <v>10</v>
      </c>
    </row>
    <row r="890">
      <c r="A890" s="6">
        <f t="shared" si="1"/>
        <v>45879</v>
      </c>
      <c r="B890" s="7" t="str">
        <f t="shared" si="2"/>
        <v>Chair</v>
      </c>
      <c r="C890" s="7" t="str">
        <f t="shared" si="3"/>
        <v>Furniture</v>
      </c>
      <c r="D890" s="7" t="str">
        <f t="shared" si="4"/>
        <v>West</v>
      </c>
      <c r="E890" s="8">
        <f t="shared" si="5"/>
        <v>1636</v>
      </c>
      <c r="F890" s="8">
        <f t="shared" si="6"/>
        <v>343.56</v>
      </c>
      <c r="G890" s="9">
        <f t="shared" si="7"/>
        <v>8</v>
      </c>
      <c r="H890" s="7" t="str">
        <f t="shared" si="8"/>
        <v>Aug</v>
      </c>
      <c r="I890" s="7">
        <f t="shared" si="9"/>
        <v>8</v>
      </c>
    </row>
    <row r="891">
      <c r="A891" s="6">
        <f t="shared" si="1"/>
        <v>45740</v>
      </c>
      <c r="B891" s="7" t="str">
        <f t="shared" si="2"/>
        <v>Chair</v>
      </c>
      <c r="C891" s="7" t="str">
        <f t="shared" si="3"/>
        <v>Furniture</v>
      </c>
      <c r="D891" s="7" t="str">
        <f t="shared" si="4"/>
        <v>South</v>
      </c>
      <c r="E891" s="8">
        <f t="shared" si="5"/>
        <v>607</v>
      </c>
      <c r="F891" s="8">
        <f t="shared" si="6"/>
        <v>78.91</v>
      </c>
      <c r="G891" s="9">
        <f t="shared" si="7"/>
        <v>10</v>
      </c>
      <c r="H891" s="7" t="str">
        <f t="shared" si="8"/>
        <v>Mar</v>
      </c>
      <c r="I891" s="7">
        <f t="shared" si="9"/>
        <v>3</v>
      </c>
    </row>
    <row r="892">
      <c r="A892" s="6">
        <f t="shared" si="1"/>
        <v>45949</v>
      </c>
      <c r="B892" s="7" t="str">
        <f t="shared" si="2"/>
        <v>Phone</v>
      </c>
      <c r="C892" s="7" t="str">
        <f t="shared" si="3"/>
        <v>Electronics</v>
      </c>
      <c r="D892" s="7" t="str">
        <f t="shared" si="4"/>
        <v>West</v>
      </c>
      <c r="E892" s="8">
        <f t="shared" si="5"/>
        <v>885</v>
      </c>
      <c r="F892" s="8">
        <f t="shared" si="6"/>
        <v>159.3</v>
      </c>
      <c r="G892" s="9">
        <f t="shared" si="7"/>
        <v>6</v>
      </c>
      <c r="H892" s="7" t="str">
        <f t="shared" si="8"/>
        <v>Oct</v>
      </c>
      <c r="I892" s="7">
        <f t="shared" si="9"/>
        <v>10</v>
      </c>
    </row>
    <row r="893">
      <c r="A893" s="6">
        <f t="shared" si="1"/>
        <v>45836</v>
      </c>
      <c r="B893" s="7" t="str">
        <f t="shared" si="2"/>
        <v>Table</v>
      </c>
      <c r="C893" s="7" t="str">
        <f t="shared" si="3"/>
        <v>Furniture</v>
      </c>
      <c r="D893" s="7" t="str">
        <f t="shared" si="4"/>
        <v>West</v>
      </c>
      <c r="E893" s="8">
        <f t="shared" si="5"/>
        <v>912</v>
      </c>
      <c r="F893" s="8">
        <f t="shared" si="6"/>
        <v>209.76</v>
      </c>
      <c r="G893" s="9">
        <f t="shared" si="7"/>
        <v>5</v>
      </c>
      <c r="H893" s="7" t="str">
        <f t="shared" si="8"/>
        <v>Jun</v>
      </c>
      <c r="I893" s="7">
        <f t="shared" si="9"/>
        <v>6</v>
      </c>
    </row>
    <row r="894">
      <c r="A894" s="6">
        <f t="shared" si="1"/>
        <v>45909</v>
      </c>
      <c r="B894" s="7" t="str">
        <f t="shared" si="2"/>
        <v>Tablet</v>
      </c>
      <c r="C894" s="7" t="str">
        <f t="shared" si="3"/>
        <v>Electronics</v>
      </c>
      <c r="D894" s="7" t="str">
        <f t="shared" si="4"/>
        <v>East</v>
      </c>
      <c r="E894" s="8">
        <f t="shared" si="5"/>
        <v>1919</v>
      </c>
      <c r="F894" s="8">
        <f t="shared" si="6"/>
        <v>422.18</v>
      </c>
      <c r="G894" s="9">
        <f t="shared" si="7"/>
        <v>4</v>
      </c>
      <c r="H894" s="7" t="str">
        <f t="shared" si="8"/>
        <v>Sep</v>
      </c>
      <c r="I894" s="7">
        <f t="shared" si="9"/>
        <v>9</v>
      </c>
    </row>
    <row r="895">
      <c r="A895" s="6">
        <f t="shared" si="1"/>
        <v>45737</v>
      </c>
      <c r="B895" s="7" t="str">
        <f t="shared" si="2"/>
        <v>Laptop</v>
      </c>
      <c r="C895" s="7" t="str">
        <f t="shared" si="3"/>
        <v>Electronics</v>
      </c>
      <c r="D895" s="7" t="str">
        <f t="shared" si="4"/>
        <v>South</v>
      </c>
      <c r="E895" s="8">
        <f t="shared" si="5"/>
        <v>1962</v>
      </c>
      <c r="F895" s="8">
        <f t="shared" si="6"/>
        <v>353.16</v>
      </c>
      <c r="G895" s="9">
        <f t="shared" si="7"/>
        <v>4</v>
      </c>
      <c r="H895" s="7" t="str">
        <f t="shared" si="8"/>
        <v>Mar</v>
      </c>
      <c r="I895" s="7">
        <f t="shared" si="9"/>
        <v>3</v>
      </c>
    </row>
    <row r="896">
      <c r="A896" s="6">
        <f t="shared" si="1"/>
        <v>45978</v>
      </c>
      <c r="B896" s="7" t="str">
        <f t="shared" si="2"/>
        <v>Laptop</v>
      </c>
      <c r="C896" s="7" t="str">
        <f t="shared" si="3"/>
        <v>Electronics</v>
      </c>
      <c r="D896" s="7" t="str">
        <f t="shared" si="4"/>
        <v>East</v>
      </c>
      <c r="E896" s="8">
        <f t="shared" si="5"/>
        <v>794</v>
      </c>
      <c r="F896" s="8">
        <f t="shared" si="6"/>
        <v>230.26</v>
      </c>
      <c r="G896" s="9">
        <f t="shared" si="7"/>
        <v>5</v>
      </c>
      <c r="H896" s="7" t="str">
        <f t="shared" si="8"/>
        <v>Nov</v>
      </c>
      <c r="I896" s="7">
        <f t="shared" si="9"/>
        <v>11</v>
      </c>
    </row>
    <row r="897">
      <c r="A897" s="6">
        <f t="shared" si="1"/>
        <v>45720</v>
      </c>
      <c r="B897" s="7" t="str">
        <f t="shared" si="2"/>
        <v>Table</v>
      </c>
      <c r="C897" s="7" t="str">
        <f t="shared" si="3"/>
        <v>Furniture</v>
      </c>
      <c r="D897" s="7" t="str">
        <f t="shared" si="4"/>
        <v>East</v>
      </c>
      <c r="E897" s="8">
        <f t="shared" si="5"/>
        <v>654</v>
      </c>
      <c r="F897" s="8">
        <f t="shared" si="6"/>
        <v>176.58</v>
      </c>
      <c r="G897" s="9">
        <f t="shared" si="7"/>
        <v>10</v>
      </c>
      <c r="H897" s="7" t="str">
        <f t="shared" si="8"/>
        <v>Mar</v>
      </c>
      <c r="I897" s="7">
        <f t="shared" si="9"/>
        <v>3</v>
      </c>
    </row>
    <row r="898">
      <c r="A898" s="6">
        <f t="shared" si="1"/>
        <v>45957</v>
      </c>
      <c r="B898" s="7" t="str">
        <f t="shared" si="2"/>
        <v>Table</v>
      </c>
      <c r="C898" s="7" t="str">
        <f t="shared" si="3"/>
        <v>Furniture</v>
      </c>
      <c r="D898" s="7" t="str">
        <f t="shared" si="4"/>
        <v>South</v>
      </c>
      <c r="E898" s="8">
        <f t="shared" si="5"/>
        <v>847</v>
      </c>
      <c r="F898" s="8">
        <f t="shared" si="6"/>
        <v>228.69</v>
      </c>
      <c r="G898" s="9">
        <f t="shared" si="7"/>
        <v>8</v>
      </c>
      <c r="H898" s="7" t="str">
        <f t="shared" si="8"/>
        <v>Oct</v>
      </c>
      <c r="I898" s="7">
        <f t="shared" si="9"/>
        <v>10</v>
      </c>
    </row>
    <row r="899">
      <c r="A899" s="6">
        <f t="shared" si="1"/>
        <v>45787</v>
      </c>
      <c r="B899" s="7" t="str">
        <f t="shared" si="2"/>
        <v>Laptop</v>
      </c>
      <c r="C899" s="7" t="str">
        <f t="shared" si="3"/>
        <v>Electronics</v>
      </c>
      <c r="D899" s="7" t="str">
        <f t="shared" si="4"/>
        <v>West</v>
      </c>
      <c r="E899" s="8">
        <f t="shared" si="5"/>
        <v>848</v>
      </c>
      <c r="F899" s="8">
        <f t="shared" si="6"/>
        <v>101.76</v>
      </c>
      <c r="G899" s="9">
        <f t="shared" si="7"/>
        <v>3</v>
      </c>
      <c r="H899" s="7" t="str">
        <f t="shared" si="8"/>
        <v>May</v>
      </c>
      <c r="I899" s="7">
        <f t="shared" si="9"/>
        <v>5</v>
      </c>
    </row>
    <row r="900">
      <c r="A900" s="6">
        <f t="shared" si="1"/>
        <v>45746</v>
      </c>
      <c r="B900" s="7" t="str">
        <f t="shared" si="2"/>
        <v>Chair</v>
      </c>
      <c r="C900" s="7" t="str">
        <f t="shared" si="3"/>
        <v>Furniture</v>
      </c>
      <c r="D900" s="7" t="str">
        <f t="shared" si="4"/>
        <v>North</v>
      </c>
      <c r="E900" s="8">
        <f t="shared" si="5"/>
        <v>1046</v>
      </c>
      <c r="F900" s="8">
        <f t="shared" si="6"/>
        <v>188.28</v>
      </c>
      <c r="G900" s="9">
        <f t="shared" si="7"/>
        <v>8</v>
      </c>
      <c r="H900" s="7" t="str">
        <f t="shared" si="8"/>
        <v>Mar</v>
      </c>
      <c r="I900" s="7">
        <f t="shared" si="9"/>
        <v>3</v>
      </c>
    </row>
    <row r="901">
      <c r="A901" s="6">
        <f t="shared" si="1"/>
        <v>45844</v>
      </c>
      <c r="B901" s="7" t="str">
        <f t="shared" si="2"/>
        <v>Monitor</v>
      </c>
      <c r="C901" s="7" t="str">
        <f t="shared" si="3"/>
        <v>Electronics</v>
      </c>
      <c r="D901" s="7" t="str">
        <f t="shared" si="4"/>
        <v>West</v>
      </c>
      <c r="E901" s="8">
        <f t="shared" si="5"/>
        <v>588</v>
      </c>
      <c r="F901" s="8">
        <f t="shared" si="6"/>
        <v>94.08</v>
      </c>
      <c r="G901" s="9">
        <f t="shared" si="7"/>
        <v>7</v>
      </c>
      <c r="H901" s="7" t="str">
        <f t="shared" si="8"/>
        <v>Jul</v>
      </c>
      <c r="I901" s="7">
        <f t="shared" si="9"/>
        <v>7</v>
      </c>
    </row>
    <row r="902">
      <c r="A902" s="6">
        <f t="shared" si="1"/>
        <v>45752</v>
      </c>
      <c r="B902" s="7" t="str">
        <f t="shared" si="2"/>
        <v>Laptop</v>
      </c>
      <c r="C902" s="7" t="str">
        <f t="shared" si="3"/>
        <v>Electronics</v>
      </c>
      <c r="D902" s="7" t="str">
        <f t="shared" si="4"/>
        <v>East</v>
      </c>
      <c r="E902" s="8">
        <f t="shared" si="5"/>
        <v>772</v>
      </c>
      <c r="F902" s="8">
        <f t="shared" si="6"/>
        <v>138.96</v>
      </c>
      <c r="G902" s="9">
        <f t="shared" si="7"/>
        <v>7</v>
      </c>
      <c r="H902" s="7" t="str">
        <f t="shared" si="8"/>
        <v>Apr</v>
      </c>
      <c r="I902" s="7">
        <f t="shared" si="9"/>
        <v>4</v>
      </c>
    </row>
    <row r="903">
      <c r="A903" s="6">
        <f t="shared" si="1"/>
        <v>45704</v>
      </c>
      <c r="B903" s="7" t="str">
        <f t="shared" si="2"/>
        <v>Phone</v>
      </c>
      <c r="C903" s="7" t="str">
        <f t="shared" si="3"/>
        <v>Electronics</v>
      </c>
      <c r="D903" s="7" t="str">
        <f t="shared" si="4"/>
        <v>West</v>
      </c>
      <c r="E903" s="8">
        <f t="shared" si="5"/>
        <v>780</v>
      </c>
      <c r="F903" s="8">
        <f t="shared" si="6"/>
        <v>132.6</v>
      </c>
      <c r="G903" s="9">
        <f t="shared" si="7"/>
        <v>9</v>
      </c>
      <c r="H903" s="7" t="str">
        <f t="shared" si="8"/>
        <v>Feb</v>
      </c>
      <c r="I903" s="7">
        <f t="shared" si="9"/>
        <v>2</v>
      </c>
    </row>
    <row r="904">
      <c r="A904" s="6">
        <f t="shared" si="1"/>
        <v>45749</v>
      </c>
      <c r="B904" s="7" t="str">
        <f t="shared" si="2"/>
        <v>Tablet</v>
      </c>
      <c r="C904" s="7" t="str">
        <f t="shared" si="3"/>
        <v>Electronics</v>
      </c>
      <c r="D904" s="7" t="str">
        <f t="shared" si="4"/>
        <v>West</v>
      </c>
      <c r="E904" s="8">
        <f t="shared" si="5"/>
        <v>426</v>
      </c>
      <c r="F904" s="8">
        <f t="shared" si="6"/>
        <v>127.8</v>
      </c>
      <c r="G904" s="9">
        <f t="shared" si="7"/>
        <v>5</v>
      </c>
      <c r="H904" s="7" t="str">
        <f t="shared" si="8"/>
        <v>Apr</v>
      </c>
      <c r="I904" s="7">
        <f t="shared" si="9"/>
        <v>4</v>
      </c>
    </row>
    <row r="905">
      <c r="A905" s="6">
        <f t="shared" si="1"/>
        <v>45871</v>
      </c>
      <c r="B905" s="7" t="str">
        <f t="shared" si="2"/>
        <v>Phone</v>
      </c>
      <c r="C905" s="7" t="str">
        <f t="shared" si="3"/>
        <v>Electronics</v>
      </c>
      <c r="D905" s="7" t="str">
        <f t="shared" si="4"/>
        <v>North</v>
      </c>
      <c r="E905" s="8">
        <f t="shared" si="5"/>
        <v>1945</v>
      </c>
      <c r="F905" s="8">
        <f t="shared" si="6"/>
        <v>350.1</v>
      </c>
      <c r="G905" s="9">
        <f t="shared" si="7"/>
        <v>5</v>
      </c>
      <c r="H905" s="7" t="str">
        <f t="shared" si="8"/>
        <v>Aug</v>
      </c>
      <c r="I905" s="7">
        <f t="shared" si="9"/>
        <v>8</v>
      </c>
    </row>
    <row r="906">
      <c r="A906" s="6">
        <f t="shared" si="1"/>
        <v>45916</v>
      </c>
      <c r="B906" s="7" t="str">
        <f t="shared" si="2"/>
        <v>Monitor</v>
      </c>
      <c r="C906" s="7" t="str">
        <f t="shared" si="3"/>
        <v>Electronics</v>
      </c>
      <c r="D906" s="7" t="str">
        <f t="shared" si="4"/>
        <v>East</v>
      </c>
      <c r="E906" s="8">
        <f t="shared" si="5"/>
        <v>1181</v>
      </c>
      <c r="F906" s="8">
        <f t="shared" si="6"/>
        <v>212.58</v>
      </c>
      <c r="G906" s="9">
        <f t="shared" si="7"/>
        <v>1</v>
      </c>
      <c r="H906" s="7" t="str">
        <f t="shared" si="8"/>
        <v>Sep</v>
      </c>
      <c r="I906" s="7">
        <f t="shared" si="9"/>
        <v>9</v>
      </c>
    </row>
    <row r="907">
      <c r="A907" s="6">
        <f t="shared" si="1"/>
        <v>45962</v>
      </c>
      <c r="B907" s="7" t="str">
        <f t="shared" si="2"/>
        <v>Laptop</v>
      </c>
      <c r="C907" s="7" t="str">
        <f t="shared" si="3"/>
        <v>Electronics</v>
      </c>
      <c r="D907" s="7" t="str">
        <f t="shared" si="4"/>
        <v>North</v>
      </c>
      <c r="E907" s="8">
        <f t="shared" si="5"/>
        <v>494</v>
      </c>
      <c r="F907" s="8">
        <f t="shared" si="6"/>
        <v>118.56</v>
      </c>
      <c r="G907" s="9">
        <f t="shared" si="7"/>
        <v>3</v>
      </c>
      <c r="H907" s="7" t="str">
        <f t="shared" si="8"/>
        <v>Nov</v>
      </c>
      <c r="I907" s="7">
        <f t="shared" si="9"/>
        <v>11</v>
      </c>
    </row>
    <row r="908">
      <c r="A908" s="6">
        <f t="shared" si="1"/>
        <v>46022</v>
      </c>
      <c r="B908" s="7" t="str">
        <f t="shared" si="2"/>
        <v>Phone</v>
      </c>
      <c r="C908" s="7" t="str">
        <f t="shared" si="3"/>
        <v>Electronics</v>
      </c>
      <c r="D908" s="7" t="str">
        <f t="shared" si="4"/>
        <v>West</v>
      </c>
      <c r="E908" s="8">
        <f t="shared" si="5"/>
        <v>1670</v>
      </c>
      <c r="F908" s="8">
        <f t="shared" si="6"/>
        <v>283.9</v>
      </c>
      <c r="G908" s="9">
        <f t="shared" si="7"/>
        <v>10</v>
      </c>
      <c r="H908" s="7" t="str">
        <f t="shared" si="8"/>
        <v>Dec</v>
      </c>
      <c r="I908" s="7">
        <f t="shared" si="9"/>
        <v>12</v>
      </c>
    </row>
    <row r="909">
      <c r="A909" s="6">
        <f t="shared" si="1"/>
        <v>45891</v>
      </c>
      <c r="B909" s="7" t="str">
        <f t="shared" si="2"/>
        <v>Phone</v>
      </c>
      <c r="C909" s="7" t="str">
        <f t="shared" si="3"/>
        <v>Electronics</v>
      </c>
      <c r="D909" s="7" t="str">
        <f t="shared" si="4"/>
        <v>South</v>
      </c>
      <c r="E909" s="8">
        <f t="shared" si="5"/>
        <v>1274</v>
      </c>
      <c r="F909" s="8">
        <f t="shared" si="6"/>
        <v>293.02</v>
      </c>
      <c r="G909" s="9">
        <f t="shared" si="7"/>
        <v>7</v>
      </c>
      <c r="H909" s="7" t="str">
        <f t="shared" si="8"/>
        <v>Aug</v>
      </c>
      <c r="I909" s="7">
        <f t="shared" si="9"/>
        <v>8</v>
      </c>
    </row>
    <row r="910">
      <c r="A910" s="6">
        <f t="shared" si="1"/>
        <v>45886</v>
      </c>
      <c r="B910" s="7" t="str">
        <f t="shared" si="2"/>
        <v>Tablet</v>
      </c>
      <c r="C910" s="7" t="str">
        <f t="shared" si="3"/>
        <v>Electronics</v>
      </c>
      <c r="D910" s="7" t="str">
        <f t="shared" si="4"/>
        <v>South</v>
      </c>
      <c r="E910" s="8">
        <f t="shared" si="5"/>
        <v>1544</v>
      </c>
      <c r="F910" s="8">
        <f t="shared" si="6"/>
        <v>231.6</v>
      </c>
      <c r="G910" s="9">
        <f t="shared" si="7"/>
        <v>9</v>
      </c>
      <c r="H910" s="7" t="str">
        <f t="shared" si="8"/>
        <v>Aug</v>
      </c>
      <c r="I910" s="7">
        <f t="shared" si="9"/>
        <v>8</v>
      </c>
    </row>
    <row r="911">
      <c r="A911" s="6">
        <f t="shared" si="1"/>
        <v>45677</v>
      </c>
      <c r="B911" s="7" t="str">
        <f t="shared" si="2"/>
        <v>Tablet</v>
      </c>
      <c r="C911" s="7" t="str">
        <f t="shared" si="3"/>
        <v>Electronics</v>
      </c>
      <c r="D911" s="7" t="str">
        <f t="shared" si="4"/>
        <v>East</v>
      </c>
      <c r="E911" s="8">
        <f t="shared" si="5"/>
        <v>1951</v>
      </c>
      <c r="F911" s="8">
        <f t="shared" si="6"/>
        <v>429.22</v>
      </c>
      <c r="G911" s="9">
        <f t="shared" si="7"/>
        <v>8</v>
      </c>
      <c r="H911" s="7" t="str">
        <f t="shared" si="8"/>
        <v>Jan</v>
      </c>
      <c r="I911" s="7">
        <f t="shared" si="9"/>
        <v>1</v>
      </c>
    </row>
    <row r="912">
      <c r="A912" s="6">
        <f t="shared" si="1"/>
        <v>45686</v>
      </c>
      <c r="B912" s="7" t="str">
        <f t="shared" si="2"/>
        <v>Laptop</v>
      </c>
      <c r="C912" s="7" t="str">
        <f t="shared" si="3"/>
        <v>Electronics</v>
      </c>
      <c r="D912" s="7" t="str">
        <f t="shared" si="4"/>
        <v>North</v>
      </c>
      <c r="E912" s="8">
        <f t="shared" si="5"/>
        <v>1977</v>
      </c>
      <c r="F912" s="8">
        <f t="shared" si="6"/>
        <v>375.63</v>
      </c>
      <c r="G912" s="9">
        <f t="shared" si="7"/>
        <v>4</v>
      </c>
      <c r="H912" s="7" t="str">
        <f t="shared" si="8"/>
        <v>Jan</v>
      </c>
      <c r="I912" s="7">
        <f t="shared" si="9"/>
        <v>1</v>
      </c>
    </row>
    <row r="913">
      <c r="A913" s="6">
        <f t="shared" si="1"/>
        <v>45980</v>
      </c>
      <c r="B913" s="7" t="str">
        <f t="shared" si="2"/>
        <v>Monitor</v>
      </c>
      <c r="C913" s="7" t="str">
        <f t="shared" si="3"/>
        <v>Electronics</v>
      </c>
      <c r="D913" s="7" t="str">
        <f t="shared" si="4"/>
        <v>West</v>
      </c>
      <c r="E913" s="8">
        <f t="shared" si="5"/>
        <v>1961</v>
      </c>
      <c r="F913" s="8">
        <f t="shared" si="6"/>
        <v>588.3</v>
      </c>
      <c r="G913" s="9">
        <f t="shared" si="7"/>
        <v>7</v>
      </c>
      <c r="H913" s="7" t="str">
        <f t="shared" si="8"/>
        <v>Nov</v>
      </c>
      <c r="I913" s="7">
        <f t="shared" si="9"/>
        <v>11</v>
      </c>
    </row>
    <row r="914">
      <c r="A914" s="6">
        <f t="shared" si="1"/>
        <v>45789</v>
      </c>
      <c r="B914" s="7" t="str">
        <f t="shared" si="2"/>
        <v>Tablet</v>
      </c>
      <c r="C914" s="7" t="str">
        <f t="shared" si="3"/>
        <v>Electronics</v>
      </c>
      <c r="D914" s="7" t="str">
        <f t="shared" si="4"/>
        <v>West</v>
      </c>
      <c r="E914" s="8">
        <f t="shared" si="5"/>
        <v>643</v>
      </c>
      <c r="F914" s="8">
        <f t="shared" si="6"/>
        <v>115.74</v>
      </c>
      <c r="G914" s="9">
        <f t="shared" si="7"/>
        <v>4</v>
      </c>
      <c r="H914" s="7" t="str">
        <f t="shared" si="8"/>
        <v>May</v>
      </c>
      <c r="I914" s="7">
        <f t="shared" si="9"/>
        <v>5</v>
      </c>
    </row>
    <row r="915">
      <c r="A915" s="6">
        <f t="shared" si="1"/>
        <v>45758</v>
      </c>
      <c r="B915" s="7" t="str">
        <f t="shared" si="2"/>
        <v>Tablet</v>
      </c>
      <c r="C915" s="7" t="str">
        <f t="shared" si="3"/>
        <v>Electronics</v>
      </c>
      <c r="D915" s="7" t="str">
        <f t="shared" si="4"/>
        <v>West</v>
      </c>
      <c r="E915" s="8">
        <f t="shared" si="5"/>
        <v>514</v>
      </c>
      <c r="F915" s="8">
        <f t="shared" si="6"/>
        <v>107.94</v>
      </c>
      <c r="G915" s="9">
        <f t="shared" si="7"/>
        <v>5</v>
      </c>
      <c r="H915" s="7" t="str">
        <f t="shared" si="8"/>
        <v>Apr</v>
      </c>
      <c r="I915" s="7">
        <f t="shared" si="9"/>
        <v>4</v>
      </c>
    </row>
    <row r="916">
      <c r="A916" s="6">
        <f t="shared" si="1"/>
        <v>45825</v>
      </c>
      <c r="B916" s="7" t="str">
        <f t="shared" si="2"/>
        <v>Table</v>
      </c>
      <c r="C916" s="7" t="str">
        <f t="shared" si="3"/>
        <v>Furniture</v>
      </c>
      <c r="D916" s="7" t="str">
        <f t="shared" si="4"/>
        <v>West</v>
      </c>
      <c r="E916" s="8">
        <f t="shared" si="5"/>
        <v>350</v>
      </c>
      <c r="F916" s="8">
        <f t="shared" si="6"/>
        <v>45.5</v>
      </c>
      <c r="G916" s="9">
        <f t="shared" si="7"/>
        <v>3</v>
      </c>
      <c r="H916" s="7" t="str">
        <f t="shared" si="8"/>
        <v>Jun</v>
      </c>
      <c r="I916" s="7">
        <f t="shared" si="9"/>
        <v>6</v>
      </c>
    </row>
    <row r="917">
      <c r="A917" s="6">
        <f t="shared" si="1"/>
        <v>45861</v>
      </c>
      <c r="B917" s="7" t="str">
        <f t="shared" si="2"/>
        <v>Table</v>
      </c>
      <c r="C917" s="7" t="str">
        <f t="shared" si="3"/>
        <v>Furniture</v>
      </c>
      <c r="D917" s="7" t="str">
        <f t="shared" si="4"/>
        <v>West</v>
      </c>
      <c r="E917" s="8">
        <f t="shared" si="5"/>
        <v>1099</v>
      </c>
      <c r="F917" s="8">
        <f t="shared" si="6"/>
        <v>109.9</v>
      </c>
      <c r="G917" s="9">
        <f t="shared" si="7"/>
        <v>3</v>
      </c>
      <c r="H917" s="7" t="str">
        <f t="shared" si="8"/>
        <v>Jul</v>
      </c>
      <c r="I917" s="7">
        <f t="shared" si="9"/>
        <v>7</v>
      </c>
    </row>
    <row r="918">
      <c r="A918" s="6">
        <f t="shared" si="1"/>
        <v>45904</v>
      </c>
      <c r="B918" s="7" t="str">
        <f t="shared" si="2"/>
        <v>Phone</v>
      </c>
      <c r="C918" s="7" t="str">
        <f t="shared" si="3"/>
        <v>Electronics</v>
      </c>
      <c r="D918" s="7" t="str">
        <f t="shared" si="4"/>
        <v>East</v>
      </c>
      <c r="E918" s="8">
        <f t="shared" si="5"/>
        <v>1171</v>
      </c>
      <c r="F918" s="8">
        <f t="shared" si="6"/>
        <v>222.49</v>
      </c>
      <c r="G918" s="9">
        <f t="shared" si="7"/>
        <v>6</v>
      </c>
      <c r="H918" s="7" t="str">
        <f t="shared" si="8"/>
        <v>Sep</v>
      </c>
      <c r="I918" s="7">
        <f t="shared" si="9"/>
        <v>9</v>
      </c>
    </row>
    <row r="919">
      <c r="A919" s="6">
        <f t="shared" si="1"/>
        <v>45833</v>
      </c>
      <c r="B919" s="7" t="str">
        <f t="shared" si="2"/>
        <v>Laptop</v>
      </c>
      <c r="C919" s="7" t="str">
        <f t="shared" si="3"/>
        <v>Electronics</v>
      </c>
      <c r="D919" s="7" t="str">
        <f t="shared" si="4"/>
        <v>West</v>
      </c>
      <c r="E919" s="8">
        <f t="shared" si="5"/>
        <v>1983</v>
      </c>
      <c r="F919" s="8">
        <f t="shared" si="6"/>
        <v>218.13</v>
      </c>
      <c r="G919" s="9">
        <f t="shared" si="7"/>
        <v>7</v>
      </c>
      <c r="H919" s="7" t="str">
        <f t="shared" si="8"/>
        <v>Jun</v>
      </c>
      <c r="I919" s="7">
        <f t="shared" si="9"/>
        <v>6</v>
      </c>
    </row>
    <row r="920">
      <c r="A920" s="6">
        <f t="shared" si="1"/>
        <v>45863</v>
      </c>
      <c r="B920" s="7" t="str">
        <f t="shared" si="2"/>
        <v>Monitor</v>
      </c>
      <c r="C920" s="7" t="str">
        <f t="shared" si="3"/>
        <v>Electronics</v>
      </c>
      <c r="D920" s="7" t="str">
        <f t="shared" si="4"/>
        <v>South</v>
      </c>
      <c r="E920" s="8">
        <f t="shared" si="5"/>
        <v>300</v>
      </c>
      <c r="F920" s="8">
        <f t="shared" si="6"/>
        <v>39</v>
      </c>
      <c r="G920" s="9">
        <f t="shared" si="7"/>
        <v>8</v>
      </c>
      <c r="H920" s="7" t="str">
        <f t="shared" si="8"/>
        <v>Jul</v>
      </c>
      <c r="I920" s="7">
        <f t="shared" si="9"/>
        <v>7</v>
      </c>
    </row>
    <row r="921">
      <c r="A921" s="6">
        <f t="shared" si="1"/>
        <v>45799</v>
      </c>
      <c r="B921" s="7" t="str">
        <f t="shared" si="2"/>
        <v>Monitor</v>
      </c>
      <c r="C921" s="7" t="str">
        <f t="shared" si="3"/>
        <v>Electronics</v>
      </c>
      <c r="D921" s="7" t="str">
        <f t="shared" si="4"/>
        <v>North</v>
      </c>
      <c r="E921" s="8">
        <f t="shared" si="5"/>
        <v>1512</v>
      </c>
      <c r="F921" s="8">
        <f t="shared" si="6"/>
        <v>438.48</v>
      </c>
      <c r="G921" s="9">
        <f t="shared" si="7"/>
        <v>6</v>
      </c>
      <c r="H921" s="7" t="str">
        <f t="shared" si="8"/>
        <v>May</v>
      </c>
      <c r="I921" s="7">
        <f t="shared" si="9"/>
        <v>5</v>
      </c>
    </row>
    <row r="922">
      <c r="A922" s="6">
        <f t="shared" si="1"/>
        <v>45892</v>
      </c>
      <c r="B922" s="7" t="str">
        <f t="shared" si="2"/>
        <v>Table</v>
      </c>
      <c r="C922" s="7" t="str">
        <f t="shared" si="3"/>
        <v>Furniture</v>
      </c>
      <c r="D922" s="7" t="str">
        <f t="shared" si="4"/>
        <v>North</v>
      </c>
      <c r="E922" s="8">
        <f t="shared" si="5"/>
        <v>912</v>
      </c>
      <c r="F922" s="8">
        <f t="shared" si="6"/>
        <v>191.52</v>
      </c>
      <c r="G922" s="9">
        <f t="shared" si="7"/>
        <v>7</v>
      </c>
      <c r="H922" s="7" t="str">
        <f t="shared" si="8"/>
        <v>Aug</v>
      </c>
      <c r="I922" s="7">
        <f t="shared" si="9"/>
        <v>8</v>
      </c>
    </row>
    <row r="923">
      <c r="A923" s="6">
        <f t="shared" si="1"/>
        <v>45945</v>
      </c>
      <c r="B923" s="7" t="str">
        <f t="shared" si="2"/>
        <v>Table</v>
      </c>
      <c r="C923" s="7" t="str">
        <f t="shared" si="3"/>
        <v>Furniture</v>
      </c>
      <c r="D923" s="7" t="str">
        <f t="shared" si="4"/>
        <v>North</v>
      </c>
      <c r="E923" s="8">
        <f t="shared" si="5"/>
        <v>1960</v>
      </c>
      <c r="F923" s="8">
        <f t="shared" si="6"/>
        <v>313.6</v>
      </c>
      <c r="G923" s="9">
        <f t="shared" si="7"/>
        <v>10</v>
      </c>
      <c r="H923" s="7" t="str">
        <f t="shared" si="8"/>
        <v>Oct</v>
      </c>
      <c r="I923" s="7">
        <f t="shared" si="9"/>
        <v>10</v>
      </c>
    </row>
    <row r="924">
      <c r="A924" s="6">
        <f t="shared" si="1"/>
        <v>46020</v>
      </c>
      <c r="B924" s="7" t="str">
        <f t="shared" si="2"/>
        <v>Tablet</v>
      </c>
      <c r="C924" s="7" t="str">
        <f t="shared" si="3"/>
        <v>Electronics</v>
      </c>
      <c r="D924" s="7" t="str">
        <f t="shared" si="4"/>
        <v>West</v>
      </c>
      <c r="E924" s="8">
        <f t="shared" si="5"/>
        <v>1827</v>
      </c>
      <c r="F924" s="8">
        <f t="shared" si="6"/>
        <v>475.02</v>
      </c>
      <c r="G924" s="9">
        <f t="shared" si="7"/>
        <v>1</v>
      </c>
      <c r="H924" s="7" t="str">
        <f t="shared" si="8"/>
        <v>Dec</v>
      </c>
      <c r="I924" s="7">
        <f t="shared" si="9"/>
        <v>12</v>
      </c>
    </row>
    <row r="925">
      <c r="A925" s="6">
        <f t="shared" si="1"/>
        <v>45681</v>
      </c>
      <c r="B925" s="7" t="str">
        <f t="shared" si="2"/>
        <v>Tablet</v>
      </c>
      <c r="C925" s="7" t="str">
        <f t="shared" si="3"/>
        <v>Electronics</v>
      </c>
      <c r="D925" s="7" t="str">
        <f t="shared" si="4"/>
        <v>North</v>
      </c>
      <c r="E925" s="8">
        <f t="shared" si="5"/>
        <v>1078</v>
      </c>
      <c r="F925" s="8">
        <f t="shared" si="6"/>
        <v>269.5</v>
      </c>
      <c r="G925" s="9">
        <f t="shared" si="7"/>
        <v>9</v>
      </c>
      <c r="H925" s="7" t="str">
        <f t="shared" si="8"/>
        <v>Jan</v>
      </c>
      <c r="I925" s="7">
        <f t="shared" si="9"/>
        <v>1</v>
      </c>
    </row>
    <row r="926">
      <c r="A926" s="6">
        <f t="shared" si="1"/>
        <v>45744</v>
      </c>
      <c r="B926" s="7" t="str">
        <f t="shared" si="2"/>
        <v>Laptop</v>
      </c>
      <c r="C926" s="7" t="str">
        <f t="shared" si="3"/>
        <v>Electronics</v>
      </c>
      <c r="D926" s="7" t="str">
        <f t="shared" si="4"/>
        <v>North</v>
      </c>
      <c r="E926" s="8">
        <f t="shared" si="5"/>
        <v>1423</v>
      </c>
      <c r="F926" s="8">
        <f t="shared" si="6"/>
        <v>426.9</v>
      </c>
      <c r="G926" s="9">
        <f t="shared" si="7"/>
        <v>6</v>
      </c>
      <c r="H926" s="7" t="str">
        <f t="shared" si="8"/>
        <v>Mar</v>
      </c>
      <c r="I926" s="7">
        <f t="shared" si="9"/>
        <v>3</v>
      </c>
    </row>
    <row r="927">
      <c r="A927" s="6">
        <f t="shared" si="1"/>
        <v>45734</v>
      </c>
      <c r="B927" s="7" t="str">
        <f t="shared" si="2"/>
        <v>Tablet</v>
      </c>
      <c r="C927" s="7" t="str">
        <f t="shared" si="3"/>
        <v>Electronics</v>
      </c>
      <c r="D927" s="7" t="str">
        <f t="shared" si="4"/>
        <v>South</v>
      </c>
      <c r="E927" s="8">
        <f t="shared" si="5"/>
        <v>564</v>
      </c>
      <c r="F927" s="8">
        <f t="shared" si="6"/>
        <v>56.4</v>
      </c>
      <c r="G927" s="9">
        <f t="shared" si="7"/>
        <v>10</v>
      </c>
      <c r="H927" s="7" t="str">
        <f t="shared" si="8"/>
        <v>Mar</v>
      </c>
      <c r="I927" s="7">
        <f t="shared" si="9"/>
        <v>3</v>
      </c>
    </row>
    <row r="928">
      <c r="A928" s="6">
        <f t="shared" si="1"/>
        <v>45939</v>
      </c>
      <c r="B928" s="7" t="str">
        <f t="shared" si="2"/>
        <v>Phone</v>
      </c>
      <c r="C928" s="7" t="str">
        <f t="shared" si="3"/>
        <v>Electronics</v>
      </c>
      <c r="D928" s="7" t="str">
        <f t="shared" si="4"/>
        <v>South</v>
      </c>
      <c r="E928" s="8">
        <f t="shared" si="5"/>
        <v>1409</v>
      </c>
      <c r="F928" s="8">
        <f t="shared" si="6"/>
        <v>140.9</v>
      </c>
      <c r="G928" s="9">
        <f t="shared" si="7"/>
        <v>8</v>
      </c>
      <c r="H928" s="7" t="str">
        <f t="shared" si="8"/>
        <v>Oct</v>
      </c>
      <c r="I928" s="7">
        <f t="shared" si="9"/>
        <v>10</v>
      </c>
    </row>
    <row r="929">
      <c r="A929" s="6">
        <f t="shared" si="1"/>
        <v>45802</v>
      </c>
      <c r="B929" s="7" t="str">
        <f t="shared" si="2"/>
        <v>Chair</v>
      </c>
      <c r="C929" s="7" t="str">
        <f t="shared" si="3"/>
        <v>Furniture</v>
      </c>
      <c r="D929" s="7" t="str">
        <f t="shared" si="4"/>
        <v>West</v>
      </c>
      <c r="E929" s="8">
        <f t="shared" si="5"/>
        <v>205</v>
      </c>
      <c r="F929" s="8">
        <f t="shared" si="6"/>
        <v>36.9</v>
      </c>
      <c r="G929" s="9">
        <f t="shared" si="7"/>
        <v>7</v>
      </c>
      <c r="H929" s="7" t="str">
        <f t="shared" si="8"/>
        <v>May</v>
      </c>
      <c r="I929" s="7">
        <f t="shared" si="9"/>
        <v>5</v>
      </c>
    </row>
    <row r="930">
      <c r="A930" s="6">
        <f t="shared" si="1"/>
        <v>45669</v>
      </c>
      <c r="B930" s="7" t="str">
        <f t="shared" si="2"/>
        <v>Monitor</v>
      </c>
      <c r="C930" s="7" t="str">
        <f t="shared" si="3"/>
        <v>Electronics</v>
      </c>
      <c r="D930" s="7" t="str">
        <f t="shared" si="4"/>
        <v>South</v>
      </c>
      <c r="E930" s="8">
        <f t="shared" si="5"/>
        <v>835</v>
      </c>
      <c r="F930" s="8">
        <f t="shared" si="6"/>
        <v>242.15</v>
      </c>
      <c r="G930" s="9">
        <f t="shared" si="7"/>
        <v>7</v>
      </c>
      <c r="H930" s="7" t="str">
        <f t="shared" si="8"/>
        <v>Jan</v>
      </c>
      <c r="I930" s="7">
        <f t="shared" si="9"/>
        <v>1</v>
      </c>
    </row>
    <row r="931">
      <c r="A931" s="6">
        <f t="shared" si="1"/>
        <v>45978</v>
      </c>
      <c r="B931" s="7" t="str">
        <f t="shared" si="2"/>
        <v>Table</v>
      </c>
      <c r="C931" s="7" t="str">
        <f t="shared" si="3"/>
        <v>Furniture</v>
      </c>
      <c r="D931" s="7" t="str">
        <f t="shared" si="4"/>
        <v>South</v>
      </c>
      <c r="E931" s="8">
        <f t="shared" si="5"/>
        <v>2000</v>
      </c>
      <c r="F931" s="8">
        <f t="shared" si="6"/>
        <v>300</v>
      </c>
      <c r="G931" s="9">
        <f t="shared" si="7"/>
        <v>1</v>
      </c>
      <c r="H931" s="7" t="str">
        <f t="shared" si="8"/>
        <v>Nov</v>
      </c>
      <c r="I931" s="7">
        <f t="shared" si="9"/>
        <v>11</v>
      </c>
    </row>
    <row r="932">
      <c r="A932" s="6">
        <f t="shared" si="1"/>
        <v>45983</v>
      </c>
      <c r="B932" s="7" t="str">
        <f t="shared" si="2"/>
        <v>Monitor</v>
      </c>
      <c r="C932" s="7" t="str">
        <f t="shared" si="3"/>
        <v>Electronics</v>
      </c>
      <c r="D932" s="7" t="str">
        <f t="shared" si="4"/>
        <v>East</v>
      </c>
      <c r="E932" s="8">
        <f t="shared" si="5"/>
        <v>875</v>
      </c>
      <c r="F932" s="8">
        <f t="shared" si="6"/>
        <v>131.25</v>
      </c>
      <c r="G932" s="9">
        <f t="shared" si="7"/>
        <v>2</v>
      </c>
      <c r="H932" s="7" t="str">
        <f t="shared" si="8"/>
        <v>Nov</v>
      </c>
      <c r="I932" s="7">
        <f t="shared" si="9"/>
        <v>11</v>
      </c>
    </row>
    <row r="933">
      <c r="A933" s="6">
        <f t="shared" si="1"/>
        <v>45775</v>
      </c>
      <c r="B933" s="7" t="str">
        <f t="shared" si="2"/>
        <v>Phone</v>
      </c>
      <c r="C933" s="7" t="str">
        <f t="shared" si="3"/>
        <v>Electronics</v>
      </c>
      <c r="D933" s="7" t="str">
        <f t="shared" si="4"/>
        <v>West</v>
      </c>
      <c r="E933" s="8">
        <f t="shared" si="5"/>
        <v>1333</v>
      </c>
      <c r="F933" s="8">
        <f t="shared" si="6"/>
        <v>133.3</v>
      </c>
      <c r="G933" s="9">
        <f t="shared" si="7"/>
        <v>1</v>
      </c>
      <c r="H933" s="7" t="str">
        <f t="shared" si="8"/>
        <v>Apr</v>
      </c>
      <c r="I933" s="7">
        <f t="shared" si="9"/>
        <v>4</v>
      </c>
    </row>
    <row r="934">
      <c r="A934" s="6">
        <f t="shared" si="1"/>
        <v>45710</v>
      </c>
      <c r="B934" s="7" t="str">
        <f t="shared" si="2"/>
        <v>Monitor</v>
      </c>
      <c r="C934" s="7" t="str">
        <f t="shared" si="3"/>
        <v>Electronics</v>
      </c>
      <c r="D934" s="7" t="str">
        <f t="shared" si="4"/>
        <v>West</v>
      </c>
      <c r="E934" s="8">
        <f t="shared" si="5"/>
        <v>631</v>
      </c>
      <c r="F934" s="8">
        <f t="shared" si="6"/>
        <v>151.44</v>
      </c>
      <c r="G934" s="9">
        <f t="shared" si="7"/>
        <v>4</v>
      </c>
      <c r="H934" s="7" t="str">
        <f t="shared" si="8"/>
        <v>Feb</v>
      </c>
      <c r="I934" s="7">
        <f t="shared" si="9"/>
        <v>2</v>
      </c>
    </row>
    <row r="935">
      <c r="A935" s="6">
        <f t="shared" si="1"/>
        <v>45723</v>
      </c>
      <c r="B935" s="7" t="str">
        <f t="shared" si="2"/>
        <v>Monitor</v>
      </c>
      <c r="C935" s="7" t="str">
        <f t="shared" si="3"/>
        <v>Electronics</v>
      </c>
      <c r="D935" s="7" t="str">
        <f t="shared" si="4"/>
        <v>South</v>
      </c>
      <c r="E935" s="8">
        <f t="shared" si="5"/>
        <v>1529</v>
      </c>
      <c r="F935" s="8">
        <f t="shared" si="6"/>
        <v>168.19</v>
      </c>
      <c r="G935" s="9">
        <f t="shared" si="7"/>
        <v>6</v>
      </c>
      <c r="H935" s="7" t="str">
        <f t="shared" si="8"/>
        <v>Mar</v>
      </c>
      <c r="I935" s="7">
        <f t="shared" si="9"/>
        <v>3</v>
      </c>
    </row>
    <row r="936">
      <c r="A936" s="6">
        <f t="shared" si="1"/>
        <v>45669</v>
      </c>
      <c r="B936" s="7" t="str">
        <f t="shared" si="2"/>
        <v>Laptop</v>
      </c>
      <c r="C936" s="7" t="str">
        <f t="shared" si="3"/>
        <v>Electronics</v>
      </c>
      <c r="D936" s="7" t="str">
        <f t="shared" si="4"/>
        <v>North</v>
      </c>
      <c r="E936" s="8">
        <f t="shared" si="5"/>
        <v>1479</v>
      </c>
      <c r="F936" s="8">
        <f t="shared" si="6"/>
        <v>384.54</v>
      </c>
      <c r="G936" s="9">
        <f t="shared" si="7"/>
        <v>2</v>
      </c>
      <c r="H936" s="7" t="str">
        <f t="shared" si="8"/>
        <v>Jan</v>
      </c>
      <c r="I936" s="7">
        <f t="shared" si="9"/>
        <v>1</v>
      </c>
    </row>
    <row r="937">
      <c r="A937" s="6">
        <f t="shared" si="1"/>
        <v>45703</v>
      </c>
      <c r="B937" s="7" t="str">
        <f t="shared" si="2"/>
        <v>Tablet</v>
      </c>
      <c r="C937" s="7" t="str">
        <f t="shared" si="3"/>
        <v>Electronics</v>
      </c>
      <c r="D937" s="7" t="str">
        <f t="shared" si="4"/>
        <v>East</v>
      </c>
      <c r="E937" s="8">
        <f t="shared" si="5"/>
        <v>1974</v>
      </c>
      <c r="F937" s="8">
        <f t="shared" si="6"/>
        <v>552.72</v>
      </c>
      <c r="G937" s="9">
        <f t="shared" si="7"/>
        <v>6</v>
      </c>
      <c r="H937" s="7" t="str">
        <f t="shared" si="8"/>
        <v>Feb</v>
      </c>
      <c r="I937" s="7">
        <f t="shared" si="9"/>
        <v>2</v>
      </c>
    </row>
    <row r="938">
      <c r="A938" s="6">
        <f t="shared" si="1"/>
        <v>45779</v>
      </c>
      <c r="B938" s="7" t="str">
        <f t="shared" si="2"/>
        <v>Table</v>
      </c>
      <c r="C938" s="7" t="str">
        <f t="shared" si="3"/>
        <v>Furniture</v>
      </c>
      <c r="D938" s="7" t="str">
        <f t="shared" si="4"/>
        <v>East</v>
      </c>
      <c r="E938" s="8">
        <f t="shared" si="5"/>
        <v>1972</v>
      </c>
      <c r="F938" s="8">
        <f t="shared" si="6"/>
        <v>335.24</v>
      </c>
      <c r="G938" s="9">
        <f t="shared" si="7"/>
        <v>2</v>
      </c>
      <c r="H938" s="7" t="str">
        <f t="shared" si="8"/>
        <v>May</v>
      </c>
      <c r="I938" s="7">
        <f t="shared" si="9"/>
        <v>5</v>
      </c>
    </row>
    <row r="939">
      <c r="A939" s="6">
        <f t="shared" si="1"/>
        <v>45874</v>
      </c>
      <c r="B939" s="7" t="str">
        <f t="shared" si="2"/>
        <v>Table</v>
      </c>
      <c r="C939" s="7" t="str">
        <f t="shared" si="3"/>
        <v>Furniture</v>
      </c>
      <c r="D939" s="7" t="str">
        <f t="shared" si="4"/>
        <v>South</v>
      </c>
      <c r="E939" s="8">
        <f t="shared" si="5"/>
        <v>1050</v>
      </c>
      <c r="F939" s="8">
        <f t="shared" si="6"/>
        <v>168</v>
      </c>
      <c r="G939" s="9">
        <f t="shared" si="7"/>
        <v>4</v>
      </c>
      <c r="H939" s="7" t="str">
        <f t="shared" si="8"/>
        <v>Aug</v>
      </c>
      <c r="I939" s="7">
        <f t="shared" si="9"/>
        <v>8</v>
      </c>
    </row>
    <row r="940">
      <c r="A940" s="6">
        <f t="shared" si="1"/>
        <v>45922</v>
      </c>
      <c r="B940" s="7" t="str">
        <f t="shared" si="2"/>
        <v>Laptop</v>
      </c>
      <c r="C940" s="7" t="str">
        <f t="shared" si="3"/>
        <v>Electronics</v>
      </c>
      <c r="D940" s="7" t="str">
        <f t="shared" si="4"/>
        <v>South</v>
      </c>
      <c r="E940" s="8">
        <f t="shared" si="5"/>
        <v>258</v>
      </c>
      <c r="F940" s="8">
        <f t="shared" si="6"/>
        <v>38.7</v>
      </c>
      <c r="G940" s="9">
        <f t="shared" si="7"/>
        <v>5</v>
      </c>
      <c r="H940" s="7" t="str">
        <f t="shared" si="8"/>
        <v>Sep</v>
      </c>
      <c r="I940" s="7">
        <f t="shared" si="9"/>
        <v>9</v>
      </c>
    </row>
    <row r="941">
      <c r="A941" s="6">
        <f t="shared" si="1"/>
        <v>45912</v>
      </c>
      <c r="B941" s="7" t="str">
        <f t="shared" si="2"/>
        <v>Laptop</v>
      </c>
      <c r="C941" s="7" t="str">
        <f t="shared" si="3"/>
        <v>Electronics</v>
      </c>
      <c r="D941" s="7" t="str">
        <f t="shared" si="4"/>
        <v>East</v>
      </c>
      <c r="E941" s="8">
        <f t="shared" si="5"/>
        <v>545</v>
      </c>
      <c r="F941" s="8">
        <f t="shared" si="6"/>
        <v>92.65</v>
      </c>
      <c r="G941" s="9">
        <f t="shared" si="7"/>
        <v>5</v>
      </c>
      <c r="H941" s="7" t="str">
        <f t="shared" si="8"/>
        <v>Sep</v>
      </c>
      <c r="I941" s="7">
        <f t="shared" si="9"/>
        <v>9</v>
      </c>
    </row>
    <row r="942">
      <c r="A942" s="6">
        <f t="shared" si="1"/>
        <v>45838</v>
      </c>
      <c r="B942" s="7" t="str">
        <f t="shared" si="2"/>
        <v>Monitor</v>
      </c>
      <c r="C942" s="7" t="str">
        <f t="shared" si="3"/>
        <v>Electronics</v>
      </c>
      <c r="D942" s="7" t="str">
        <f t="shared" si="4"/>
        <v>South</v>
      </c>
      <c r="E942" s="8">
        <f t="shared" si="5"/>
        <v>766</v>
      </c>
      <c r="F942" s="8">
        <f t="shared" si="6"/>
        <v>214.48</v>
      </c>
      <c r="G942" s="9">
        <f t="shared" si="7"/>
        <v>7</v>
      </c>
      <c r="H942" s="7" t="str">
        <f t="shared" si="8"/>
        <v>Jun</v>
      </c>
      <c r="I942" s="7">
        <f t="shared" si="9"/>
        <v>6</v>
      </c>
    </row>
    <row r="943">
      <c r="A943" s="6">
        <f t="shared" si="1"/>
        <v>45703</v>
      </c>
      <c r="B943" s="7" t="str">
        <f t="shared" si="2"/>
        <v>Chair</v>
      </c>
      <c r="C943" s="7" t="str">
        <f t="shared" si="3"/>
        <v>Furniture</v>
      </c>
      <c r="D943" s="7" t="str">
        <f t="shared" si="4"/>
        <v>West</v>
      </c>
      <c r="E943" s="8">
        <f t="shared" si="5"/>
        <v>1783</v>
      </c>
      <c r="F943" s="8">
        <f t="shared" si="6"/>
        <v>178.3</v>
      </c>
      <c r="G943" s="9">
        <f t="shared" si="7"/>
        <v>6</v>
      </c>
      <c r="H943" s="7" t="str">
        <f t="shared" si="8"/>
        <v>Feb</v>
      </c>
      <c r="I943" s="7">
        <f t="shared" si="9"/>
        <v>2</v>
      </c>
    </row>
    <row r="944">
      <c r="A944" s="6">
        <f t="shared" si="1"/>
        <v>45965</v>
      </c>
      <c r="B944" s="7" t="str">
        <f t="shared" si="2"/>
        <v>Phone</v>
      </c>
      <c r="C944" s="7" t="str">
        <f t="shared" si="3"/>
        <v>Electronics</v>
      </c>
      <c r="D944" s="7" t="str">
        <f t="shared" si="4"/>
        <v>East</v>
      </c>
      <c r="E944" s="8">
        <f t="shared" si="5"/>
        <v>217</v>
      </c>
      <c r="F944" s="8">
        <f t="shared" si="6"/>
        <v>30.38</v>
      </c>
      <c r="G944" s="9">
        <f t="shared" si="7"/>
        <v>5</v>
      </c>
      <c r="H944" s="7" t="str">
        <f t="shared" si="8"/>
        <v>Nov</v>
      </c>
      <c r="I944" s="7">
        <f t="shared" si="9"/>
        <v>11</v>
      </c>
    </row>
    <row r="945">
      <c r="A945" s="6">
        <f t="shared" si="1"/>
        <v>46005</v>
      </c>
      <c r="B945" s="7" t="str">
        <f t="shared" si="2"/>
        <v>Table</v>
      </c>
      <c r="C945" s="7" t="str">
        <f t="shared" si="3"/>
        <v>Furniture</v>
      </c>
      <c r="D945" s="7" t="str">
        <f t="shared" si="4"/>
        <v>South</v>
      </c>
      <c r="E945" s="8">
        <f t="shared" si="5"/>
        <v>774</v>
      </c>
      <c r="F945" s="8">
        <f t="shared" si="6"/>
        <v>85.14</v>
      </c>
      <c r="G945" s="9">
        <f t="shared" si="7"/>
        <v>6</v>
      </c>
      <c r="H945" s="7" t="str">
        <f t="shared" si="8"/>
        <v>Dec</v>
      </c>
      <c r="I945" s="7">
        <f t="shared" si="9"/>
        <v>12</v>
      </c>
    </row>
    <row r="946">
      <c r="A946" s="6">
        <f t="shared" si="1"/>
        <v>46003</v>
      </c>
      <c r="B946" s="7" t="str">
        <f t="shared" si="2"/>
        <v>Table</v>
      </c>
      <c r="C946" s="7" t="str">
        <f t="shared" si="3"/>
        <v>Furniture</v>
      </c>
      <c r="D946" s="7" t="str">
        <f t="shared" si="4"/>
        <v>North</v>
      </c>
      <c r="E946" s="8">
        <f t="shared" si="5"/>
        <v>473</v>
      </c>
      <c r="F946" s="8">
        <f t="shared" si="6"/>
        <v>56.76</v>
      </c>
      <c r="G946" s="9">
        <f t="shared" si="7"/>
        <v>6</v>
      </c>
      <c r="H946" s="7" t="str">
        <f t="shared" si="8"/>
        <v>Dec</v>
      </c>
      <c r="I946" s="7">
        <f t="shared" si="9"/>
        <v>12</v>
      </c>
    </row>
    <row r="947">
      <c r="A947" s="6">
        <f t="shared" si="1"/>
        <v>45919</v>
      </c>
      <c r="B947" s="7" t="str">
        <f t="shared" si="2"/>
        <v>Laptop</v>
      </c>
      <c r="C947" s="7" t="str">
        <f t="shared" si="3"/>
        <v>Electronics</v>
      </c>
      <c r="D947" s="7" t="str">
        <f t="shared" si="4"/>
        <v>East</v>
      </c>
      <c r="E947" s="8">
        <f t="shared" si="5"/>
        <v>958</v>
      </c>
      <c r="F947" s="8">
        <f t="shared" si="6"/>
        <v>229.92</v>
      </c>
      <c r="G947" s="9">
        <f t="shared" si="7"/>
        <v>8</v>
      </c>
      <c r="H947" s="7" t="str">
        <f t="shared" si="8"/>
        <v>Sep</v>
      </c>
      <c r="I947" s="7">
        <f t="shared" si="9"/>
        <v>9</v>
      </c>
    </row>
    <row r="948">
      <c r="A948" s="6">
        <f t="shared" si="1"/>
        <v>45799</v>
      </c>
      <c r="B948" s="7" t="str">
        <f t="shared" si="2"/>
        <v>Laptop</v>
      </c>
      <c r="C948" s="7" t="str">
        <f t="shared" si="3"/>
        <v>Electronics</v>
      </c>
      <c r="D948" s="7" t="str">
        <f t="shared" si="4"/>
        <v>West</v>
      </c>
      <c r="E948" s="8">
        <f t="shared" si="5"/>
        <v>1240</v>
      </c>
      <c r="F948" s="8">
        <f t="shared" si="6"/>
        <v>136.4</v>
      </c>
      <c r="G948" s="9">
        <f t="shared" si="7"/>
        <v>5</v>
      </c>
      <c r="H948" s="7" t="str">
        <f t="shared" si="8"/>
        <v>May</v>
      </c>
      <c r="I948" s="7">
        <f t="shared" si="9"/>
        <v>5</v>
      </c>
    </row>
    <row r="949">
      <c r="A949" s="6">
        <f t="shared" si="1"/>
        <v>45706</v>
      </c>
      <c r="B949" s="7" t="str">
        <f t="shared" si="2"/>
        <v>Table</v>
      </c>
      <c r="C949" s="7" t="str">
        <f t="shared" si="3"/>
        <v>Furniture</v>
      </c>
      <c r="D949" s="7" t="str">
        <f t="shared" si="4"/>
        <v>East</v>
      </c>
      <c r="E949" s="8">
        <f t="shared" si="5"/>
        <v>329</v>
      </c>
      <c r="F949" s="8">
        <f t="shared" si="6"/>
        <v>92.12</v>
      </c>
      <c r="G949" s="9">
        <f t="shared" si="7"/>
        <v>3</v>
      </c>
      <c r="H949" s="7" t="str">
        <f t="shared" si="8"/>
        <v>Feb</v>
      </c>
      <c r="I949" s="7">
        <f t="shared" si="9"/>
        <v>2</v>
      </c>
    </row>
    <row r="950">
      <c r="A950" s="6">
        <f t="shared" si="1"/>
        <v>46009</v>
      </c>
      <c r="B950" s="7" t="str">
        <f t="shared" si="2"/>
        <v>Tablet</v>
      </c>
      <c r="C950" s="7" t="str">
        <f t="shared" si="3"/>
        <v>Electronics</v>
      </c>
      <c r="D950" s="7" t="str">
        <f t="shared" si="4"/>
        <v>East</v>
      </c>
      <c r="E950" s="8">
        <f t="shared" si="5"/>
        <v>767</v>
      </c>
      <c r="F950" s="8">
        <f t="shared" si="6"/>
        <v>130.39</v>
      </c>
      <c r="G950" s="9">
        <f t="shared" si="7"/>
        <v>4</v>
      </c>
      <c r="H950" s="7" t="str">
        <f t="shared" si="8"/>
        <v>Dec</v>
      </c>
      <c r="I950" s="7">
        <f t="shared" si="9"/>
        <v>12</v>
      </c>
    </row>
    <row r="951">
      <c r="A951" s="6">
        <f t="shared" si="1"/>
        <v>45697</v>
      </c>
      <c r="B951" s="7" t="str">
        <f t="shared" si="2"/>
        <v>Laptop</v>
      </c>
      <c r="C951" s="7" t="str">
        <f t="shared" si="3"/>
        <v>Electronics</v>
      </c>
      <c r="D951" s="7" t="str">
        <f t="shared" si="4"/>
        <v>North</v>
      </c>
      <c r="E951" s="8">
        <f t="shared" si="5"/>
        <v>614</v>
      </c>
      <c r="F951" s="8">
        <f t="shared" si="6"/>
        <v>165.78</v>
      </c>
      <c r="G951" s="9">
        <f t="shared" si="7"/>
        <v>10</v>
      </c>
      <c r="H951" s="7" t="str">
        <f t="shared" si="8"/>
        <v>Feb</v>
      </c>
      <c r="I951" s="7">
        <f t="shared" si="9"/>
        <v>2</v>
      </c>
    </row>
    <row r="952">
      <c r="A952" s="6">
        <f t="shared" si="1"/>
        <v>45892</v>
      </c>
      <c r="B952" s="7" t="str">
        <f t="shared" si="2"/>
        <v>Phone</v>
      </c>
      <c r="C952" s="7" t="str">
        <f t="shared" si="3"/>
        <v>Electronics</v>
      </c>
      <c r="D952" s="7" t="str">
        <f t="shared" si="4"/>
        <v>East</v>
      </c>
      <c r="E952" s="8">
        <f t="shared" si="5"/>
        <v>713</v>
      </c>
      <c r="F952" s="8">
        <f t="shared" si="6"/>
        <v>135.47</v>
      </c>
      <c r="G952" s="9">
        <f t="shared" si="7"/>
        <v>5</v>
      </c>
      <c r="H952" s="7" t="str">
        <f t="shared" si="8"/>
        <v>Aug</v>
      </c>
      <c r="I952" s="7">
        <f t="shared" si="9"/>
        <v>8</v>
      </c>
    </row>
    <row r="953">
      <c r="A953" s="6">
        <f t="shared" si="1"/>
        <v>46006</v>
      </c>
      <c r="B953" s="7" t="str">
        <f t="shared" si="2"/>
        <v>Tablet</v>
      </c>
      <c r="C953" s="7" t="str">
        <f t="shared" si="3"/>
        <v>Electronics</v>
      </c>
      <c r="D953" s="7" t="str">
        <f t="shared" si="4"/>
        <v>South</v>
      </c>
      <c r="E953" s="8">
        <f t="shared" si="5"/>
        <v>568</v>
      </c>
      <c r="F953" s="8">
        <f t="shared" si="6"/>
        <v>96.56</v>
      </c>
      <c r="G953" s="9">
        <f t="shared" si="7"/>
        <v>3</v>
      </c>
      <c r="H953" s="7" t="str">
        <f t="shared" si="8"/>
        <v>Dec</v>
      </c>
      <c r="I953" s="7">
        <f t="shared" si="9"/>
        <v>12</v>
      </c>
    </row>
    <row r="954">
      <c r="A954" s="6">
        <f t="shared" si="1"/>
        <v>45917</v>
      </c>
      <c r="B954" s="7" t="str">
        <f t="shared" si="2"/>
        <v>Tablet</v>
      </c>
      <c r="C954" s="7" t="str">
        <f t="shared" si="3"/>
        <v>Electronics</v>
      </c>
      <c r="D954" s="7" t="str">
        <f t="shared" si="4"/>
        <v>North</v>
      </c>
      <c r="E954" s="8">
        <f t="shared" si="5"/>
        <v>1272</v>
      </c>
      <c r="F954" s="8">
        <f t="shared" si="6"/>
        <v>279.84</v>
      </c>
      <c r="G954" s="9">
        <f t="shared" si="7"/>
        <v>6</v>
      </c>
      <c r="H954" s="7" t="str">
        <f t="shared" si="8"/>
        <v>Sep</v>
      </c>
      <c r="I954" s="7">
        <f t="shared" si="9"/>
        <v>9</v>
      </c>
    </row>
    <row r="955">
      <c r="A955" s="6">
        <f t="shared" si="1"/>
        <v>45730</v>
      </c>
      <c r="B955" s="7" t="str">
        <f t="shared" si="2"/>
        <v>Phone</v>
      </c>
      <c r="C955" s="7" t="str">
        <f t="shared" si="3"/>
        <v>Electronics</v>
      </c>
      <c r="D955" s="7" t="str">
        <f t="shared" si="4"/>
        <v>South</v>
      </c>
      <c r="E955" s="8">
        <f t="shared" si="5"/>
        <v>1699</v>
      </c>
      <c r="F955" s="8">
        <f t="shared" si="6"/>
        <v>458.73</v>
      </c>
      <c r="G955" s="9">
        <f t="shared" si="7"/>
        <v>7</v>
      </c>
      <c r="H955" s="7" t="str">
        <f t="shared" si="8"/>
        <v>Mar</v>
      </c>
      <c r="I955" s="7">
        <f t="shared" si="9"/>
        <v>3</v>
      </c>
    </row>
    <row r="956">
      <c r="A956" s="6">
        <f t="shared" si="1"/>
        <v>45779</v>
      </c>
      <c r="B956" s="7" t="str">
        <f t="shared" si="2"/>
        <v>Chair</v>
      </c>
      <c r="C956" s="7" t="str">
        <f t="shared" si="3"/>
        <v>Furniture</v>
      </c>
      <c r="D956" s="7" t="str">
        <f t="shared" si="4"/>
        <v>West</v>
      </c>
      <c r="E956" s="8">
        <f t="shared" si="5"/>
        <v>1824</v>
      </c>
      <c r="F956" s="8">
        <f t="shared" si="6"/>
        <v>291.84</v>
      </c>
      <c r="G956" s="9">
        <f t="shared" si="7"/>
        <v>10</v>
      </c>
      <c r="H956" s="7" t="str">
        <f t="shared" si="8"/>
        <v>May</v>
      </c>
      <c r="I956" s="7">
        <f t="shared" si="9"/>
        <v>5</v>
      </c>
    </row>
    <row r="957">
      <c r="A957" s="6">
        <f t="shared" si="1"/>
        <v>45750</v>
      </c>
      <c r="B957" s="7" t="str">
        <f t="shared" si="2"/>
        <v>Monitor</v>
      </c>
      <c r="C957" s="7" t="str">
        <f t="shared" si="3"/>
        <v>Electronics</v>
      </c>
      <c r="D957" s="7" t="str">
        <f t="shared" si="4"/>
        <v>East</v>
      </c>
      <c r="E957" s="8">
        <f t="shared" si="5"/>
        <v>466</v>
      </c>
      <c r="F957" s="8">
        <f t="shared" si="6"/>
        <v>65.24</v>
      </c>
      <c r="G957" s="9">
        <f t="shared" si="7"/>
        <v>10</v>
      </c>
      <c r="H957" s="7" t="str">
        <f t="shared" si="8"/>
        <v>Apr</v>
      </c>
      <c r="I957" s="7">
        <f t="shared" si="9"/>
        <v>4</v>
      </c>
    </row>
    <row r="958">
      <c r="A958" s="6">
        <f t="shared" si="1"/>
        <v>45741</v>
      </c>
      <c r="B958" s="7" t="str">
        <f t="shared" si="2"/>
        <v>Phone</v>
      </c>
      <c r="C958" s="7" t="str">
        <f t="shared" si="3"/>
        <v>Electronics</v>
      </c>
      <c r="D958" s="7" t="str">
        <f t="shared" si="4"/>
        <v>North</v>
      </c>
      <c r="E958" s="8">
        <f t="shared" si="5"/>
        <v>1521</v>
      </c>
      <c r="F958" s="8">
        <f t="shared" si="6"/>
        <v>288.99</v>
      </c>
      <c r="G958" s="9">
        <f t="shared" si="7"/>
        <v>1</v>
      </c>
      <c r="H958" s="7" t="str">
        <f t="shared" si="8"/>
        <v>Mar</v>
      </c>
      <c r="I958" s="7">
        <f t="shared" si="9"/>
        <v>3</v>
      </c>
    </row>
    <row r="959">
      <c r="A959" s="6">
        <f t="shared" si="1"/>
        <v>45722</v>
      </c>
      <c r="B959" s="7" t="str">
        <f t="shared" si="2"/>
        <v>Tablet</v>
      </c>
      <c r="C959" s="7" t="str">
        <f t="shared" si="3"/>
        <v>Electronics</v>
      </c>
      <c r="D959" s="7" t="str">
        <f t="shared" si="4"/>
        <v>East</v>
      </c>
      <c r="E959" s="8">
        <f t="shared" si="5"/>
        <v>1032</v>
      </c>
      <c r="F959" s="8">
        <f t="shared" si="6"/>
        <v>123.84</v>
      </c>
      <c r="G959" s="9">
        <f t="shared" si="7"/>
        <v>6</v>
      </c>
      <c r="H959" s="7" t="str">
        <f t="shared" si="8"/>
        <v>Mar</v>
      </c>
      <c r="I959" s="7">
        <f t="shared" si="9"/>
        <v>3</v>
      </c>
    </row>
    <row r="960">
      <c r="A960" s="6">
        <f t="shared" si="1"/>
        <v>45746</v>
      </c>
      <c r="B960" s="7" t="str">
        <f t="shared" si="2"/>
        <v>Tablet</v>
      </c>
      <c r="C960" s="7" t="str">
        <f t="shared" si="3"/>
        <v>Electronics</v>
      </c>
      <c r="D960" s="7" t="str">
        <f t="shared" si="4"/>
        <v>South</v>
      </c>
      <c r="E960" s="8">
        <f t="shared" si="5"/>
        <v>569</v>
      </c>
      <c r="F960" s="8">
        <f t="shared" si="6"/>
        <v>136.56</v>
      </c>
      <c r="G960" s="9">
        <f t="shared" si="7"/>
        <v>3</v>
      </c>
      <c r="H960" s="7" t="str">
        <f t="shared" si="8"/>
        <v>Mar</v>
      </c>
      <c r="I960" s="7">
        <f t="shared" si="9"/>
        <v>3</v>
      </c>
    </row>
    <row r="961">
      <c r="A961" s="6">
        <f t="shared" si="1"/>
        <v>45721</v>
      </c>
      <c r="B961" s="7" t="str">
        <f t="shared" si="2"/>
        <v>Table</v>
      </c>
      <c r="C961" s="7" t="str">
        <f t="shared" si="3"/>
        <v>Furniture</v>
      </c>
      <c r="D961" s="7" t="str">
        <f t="shared" si="4"/>
        <v>North</v>
      </c>
      <c r="E961" s="8">
        <f t="shared" si="5"/>
        <v>1758</v>
      </c>
      <c r="F961" s="8">
        <f t="shared" si="6"/>
        <v>334.02</v>
      </c>
      <c r="G961" s="9">
        <f t="shared" si="7"/>
        <v>8</v>
      </c>
      <c r="H961" s="7" t="str">
        <f t="shared" si="8"/>
        <v>Mar</v>
      </c>
      <c r="I961" s="7">
        <f t="shared" si="9"/>
        <v>3</v>
      </c>
    </row>
    <row r="962">
      <c r="A962" s="6">
        <f t="shared" si="1"/>
        <v>45856</v>
      </c>
      <c r="B962" s="7" t="str">
        <f t="shared" si="2"/>
        <v>Phone</v>
      </c>
      <c r="C962" s="7" t="str">
        <f t="shared" si="3"/>
        <v>Electronics</v>
      </c>
      <c r="D962" s="7" t="str">
        <f t="shared" si="4"/>
        <v>East</v>
      </c>
      <c r="E962" s="8">
        <f t="shared" si="5"/>
        <v>945</v>
      </c>
      <c r="F962" s="8">
        <f t="shared" si="6"/>
        <v>264.6</v>
      </c>
      <c r="G962" s="9">
        <f t="shared" si="7"/>
        <v>5</v>
      </c>
      <c r="H962" s="7" t="str">
        <f t="shared" si="8"/>
        <v>Jul</v>
      </c>
      <c r="I962" s="7">
        <f t="shared" si="9"/>
        <v>7</v>
      </c>
    </row>
    <row r="963">
      <c r="A963" s="6">
        <f t="shared" si="1"/>
        <v>45719</v>
      </c>
      <c r="B963" s="7" t="str">
        <f t="shared" si="2"/>
        <v>Phone</v>
      </c>
      <c r="C963" s="7" t="str">
        <f t="shared" si="3"/>
        <v>Electronics</v>
      </c>
      <c r="D963" s="7" t="str">
        <f t="shared" si="4"/>
        <v>East</v>
      </c>
      <c r="E963" s="8">
        <f t="shared" si="5"/>
        <v>836</v>
      </c>
      <c r="F963" s="8">
        <f t="shared" si="6"/>
        <v>200.64</v>
      </c>
      <c r="G963" s="9">
        <f t="shared" si="7"/>
        <v>3</v>
      </c>
      <c r="H963" s="7" t="str">
        <f t="shared" si="8"/>
        <v>Mar</v>
      </c>
      <c r="I963" s="7">
        <f t="shared" si="9"/>
        <v>3</v>
      </c>
    </row>
    <row r="964">
      <c r="A964" s="6">
        <f t="shared" si="1"/>
        <v>45962</v>
      </c>
      <c r="B964" s="7" t="str">
        <f t="shared" si="2"/>
        <v>Tablet</v>
      </c>
      <c r="C964" s="7" t="str">
        <f t="shared" si="3"/>
        <v>Electronics</v>
      </c>
      <c r="D964" s="7" t="str">
        <f t="shared" si="4"/>
        <v>South</v>
      </c>
      <c r="E964" s="8">
        <f t="shared" si="5"/>
        <v>533</v>
      </c>
      <c r="F964" s="8">
        <f t="shared" si="6"/>
        <v>111.93</v>
      </c>
      <c r="G964" s="9">
        <f t="shared" si="7"/>
        <v>10</v>
      </c>
      <c r="H964" s="7" t="str">
        <f t="shared" si="8"/>
        <v>Nov</v>
      </c>
      <c r="I964" s="7">
        <f t="shared" si="9"/>
        <v>11</v>
      </c>
    </row>
    <row r="965">
      <c r="A965" s="6">
        <f t="shared" si="1"/>
        <v>45880</v>
      </c>
      <c r="B965" s="7" t="str">
        <f t="shared" si="2"/>
        <v>Laptop</v>
      </c>
      <c r="C965" s="7" t="str">
        <f t="shared" si="3"/>
        <v>Electronics</v>
      </c>
      <c r="D965" s="7" t="str">
        <f t="shared" si="4"/>
        <v>East</v>
      </c>
      <c r="E965" s="8">
        <f t="shared" si="5"/>
        <v>1994</v>
      </c>
      <c r="F965" s="8">
        <f t="shared" si="6"/>
        <v>598.2</v>
      </c>
      <c r="G965" s="9">
        <f t="shared" si="7"/>
        <v>3</v>
      </c>
      <c r="H965" s="7" t="str">
        <f t="shared" si="8"/>
        <v>Aug</v>
      </c>
      <c r="I965" s="7">
        <f t="shared" si="9"/>
        <v>8</v>
      </c>
    </row>
    <row r="966">
      <c r="A966" s="6">
        <f t="shared" si="1"/>
        <v>45992</v>
      </c>
      <c r="B966" s="7" t="str">
        <f t="shared" si="2"/>
        <v>Table</v>
      </c>
      <c r="C966" s="7" t="str">
        <f t="shared" si="3"/>
        <v>Furniture</v>
      </c>
      <c r="D966" s="7" t="str">
        <f t="shared" si="4"/>
        <v>East</v>
      </c>
      <c r="E966" s="8">
        <f t="shared" si="5"/>
        <v>1495</v>
      </c>
      <c r="F966" s="8">
        <f t="shared" si="6"/>
        <v>358.8</v>
      </c>
      <c r="G966" s="9">
        <f t="shared" si="7"/>
        <v>2</v>
      </c>
      <c r="H966" s="7" t="str">
        <f t="shared" si="8"/>
        <v>Dec</v>
      </c>
      <c r="I966" s="7">
        <f t="shared" si="9"/>
        <v>12</v>
      </c>
    </row>
    <row r="967">
      <c r="A967" s="6">
        <f t="shared" si="1"/>
        <v>45892</v>
      </c>
      <c r="B967" s="7" t="str">
        <f t="shared" si="2"/>
        <v>Chair</v>
      </c>
      <c r="C967" s="7" t="str">
        <f t="shared" si="3"/>
        <v>Furniture</v>
      </c>
      <c r="D967" s="7" t="str">
        <f t="shared" si="4"/>
        <v>West</v>
      </c>
      <c r="E967" s="8">
        <f t="shared" si="5"/>
        <v>448</v>
      </c>
      <c r="F967" s="8">
        <f t="shared" si="6"/>
        <v>107.52</v>
      </c>
      <c r="G967" s="9">
        <f t="shared" si="7"/>
        <v>4</v>
      </c>
      <c r="H967" s="7" t="str">
        <f t="shared" si="8"/>
        <v>Aug</v>
      </c>
      <c r="I967" s="7">
        <f t="shared" si="9"/>
        <v>8</v>
      </c>
    </row>
    <row r="968">
      <c r="A968" s="6">
        <f t="shared" si="1"/>
        <v>45901</v>
      </c>
      <c r="B968" s="7" t="str">
        <f t="shared" si="2"/>
        <v>Phone</v>
      </c>
      <c r="C968" s="7" t="str">
        <f t="shared" si="3"/>
        <v>Electronics</v>
      </c>
      <c r="D968" s="7" t="str">
        <f t="shared" si="4"/>
        <v>South</v>
      </c>
      <c r="E968" s="8">
        <f t="shared" si="5"/>
        <v>1148</v>
      </c>
      <c r="F968" s="8">
        <f t="shared" si="6"/>
        <v>309.96</v>
      </c>
      <c r="G968" s="9">
        <f t="shared" si="7"/>
        <v>7</v>
      </c>
      <c r="H968" s="7" t="str">
        <f t="shared" si="8"/>
        <v>Sep</v>
      </c>
      <c r="I968" s="7">
        <f t="shared" si="9"/>
        <v>9</v>
      </c>
    </row>
    <row r="969">
      <c r="A969" s="6">
        <f t="shared" si="1"/>
        <v>45675</v>
      </c>
      <c r="B969" s="7" t="str">
        <f t="shared" si="2"/>
        <v>Chair</v>
      </c>
      <c r="C969" s="7" t="str">
        <f t="shared" si="3"/>
        <v>Furniture</v>
      </c>
      <c r="D969" s="7" t="str">
        <f t="shared" si="4"/>
        <v>North</v>
      </c>
      <c r="E969" s="8">
        <f t="shared" si="5"/>
        <v>1898</v>
      </c>
      <c r="F969" s="8">
        <f t="shared" si="6"/>
        <v>227.76</v>
      </c>
      <c r="G969" s="9">
        <f t="shared" si="7"/>
        <v>7</v>
      </c>
      <c r="H969" s="7" t="str">
        <f t="shared" si="8"/>
        <v>Jan</v>
      </c>
      <c r="I969" s="7">
        <f t="shared" si="9"/>
        <v>1</v>
      </c>
    </row>
    <row r="970">
      <c r="A970" s="6">
        <f t="shared" si="1"/>
        <v>45767</v>
      </c>
      <c r="B970" s="7" t="str">
        <f t="shared" si="2"/>
        <v>Phone</v>
      </c>
      <c r="C970" s="7" t="str">
        <f t="shared" si="3"/>
        <v>Electronics</v>
      </c>
      <c r="D970" s="7" t="str">
        <f t="shared" si="4"/>
        <v>North</v>
      </c>
      <c r="E970" s="8">
        <f t="shared" si="5"/>
        <v>1342</v>
      </c>
      <c r="F970" s="8">
        <f t="shared" si="6"/>
        <v>214.72</v>
      </c>
      <c r="G970" s="9">
        <f t="shared" si="7"/>
        <v>1</v>
      </c>
      <c r="H970" s="7" t="str">
        <f t="shared" si="8"/>
        <v>Apr</v>
      </c>
      <c r="I970" s="7">
        <f t="shared" si="9"/>
        <v>4</v>
      </c>
    </row>
    <row r="971">
      <c r="A971" s="6">
        <f t="shared" si="1"/>
        <v>45714</v>
      </c>
      <c r="B971" s="7" t="str">
        <f t="shared" si="2"/>
        <v>Table</v>
      </c>
      <c r="C971" s="7" t="str">
        <f t="shared" si="3"/>
        <v>Furniture</v>
      </c>
      <c r="D971" s="7" t="str">
        <f t="shared" si="4"/>
        <v>South</v>
      </c>
      <c r="E971" s="8">
        <f t="shared" si="5"/>
        <v>505</v>
      </c>
      <c r="F971" s="8">
        <f t="shared" si="6"/>
        <v>106.05</v>
      </c>
      <c r="G971" s="9">
        <f t="shared" si="7"/>
        <v>5</v>
      </c>
      <c r="H971" s="7" t="str">
        <f t="shared" si="8"/>
        <v>Feb</v>
      </c>
      <c r="I971" s="7">
        <f t="shared" si="9"/>
        <v>2</v>
      </c>
    </row>
    <row r="972">
      <c r="A972" s="6">
        <f t="shared" si="1"/>
        <v>45751</v>
      </c>
      <c r="B972" s="7" t="str">
        <f t="shared" si="2"/>
        <v>Tablet</v>
      </c>
      <c r="C972" s="7" t="str">
        <f t="shared" si="3"/>
        <v>Electronics</v>
      </c>
      <c r="D972" s="7" t="str">
        <f t="shared" si="4"/>
        <v>North</v>
      </c>
      <c r="E972" s="8">
        <f t="shared" si="5"/>
        <v>399</v>
      </c>
      <c r="F972" s="8">
        <f t="shared" si="6"/>
        <v>67.83</v>
      </c>
      <c r="G972" s="9">
        <f t="shared" si="7"/>
        <v>1</v>
      </c>
      <c r="H972" s="7" t="str">
        <f t="shared" si="8"/>
        <v>Apr</v>
      </c>
      <c r="I972" s="7">
        <f t="shared" si="9"/>
        <v>4</v>
      </c>
    </row>
    <row r="973">
      <c r="A973" s="6">
        <f t="shared" si="1"/>
        <v>45946</v>
      </c>
      <c r="B973" s="7" t="str">
        <f t="shared" si="2"/>
        <v>Chair</v>
      </c>
      <c r="C973" s="7" t="str">
        <f t="shared" si="3"/>
        <v>Furniture</v>
      </c>
      <c r="D973" s="7" t="str">
        <f t="shared" si="4"/>
        <v>West</v>
      </c>
      <c r="E973" s="8">
        <f t="shared" si="5"/>
        <v>1407</v>
      </c>
      <c r="F973" s="8">
        <f t="shared" si="6"/>
        <v>154.77</v>
      </c>
      <c r="G973" s="9">
        <f t="shared" si="7"/>
        <v>9</v>
      </c>
      <c r="H973" s="7" t="str">
        <f t="shared" si="8"/>
        <v>Oct</v>
      </c>
      <c r="I973" s="7">
        <f t="shared" si="9"/>
        <v>10</v>
      </c>
    </row>
    <row r="974">
      <c r="A974" s="6">
        <f t="shared" si="1"/>
        <v>45868</v>
      </c>
      <c r="B974" s="7" t="str">
        <f t="shared" si="2"/>
        <v>Chair</v>
      </c>
      <c r="C974" s="7" t="str">
        <f t="shared" si="3"/>
        <v>Furniture</v>
      </c>
      <c r="D974" s="7" t="str">
        <f t="shared" si="4"/>
        <v>East</v>
      </c>
      <c r="E974" s="8">
        <f t="shared" si="5"/>
        <v>321</v>
      </c>
      <c r="F974" s="8">
        <f t="shared" si="6"/>
        <v>70.62</v>
      </c>
      <c r="G974" s="9">
        <f t="shared" si="7"/>
        <v>2</v>
      </c>
      <c r="H974" s="7" t="str">
        <f t="shared" si="8"/>
        <v>Jul</v>
      </c>
      <c r="I974" s="7">
        <f t="shared" si="9"/>
        <v>7</v>
      </c>
    </row>
    <row r="975">
      <c r="A975" s="6">
        <f t="shared" si="1"/>
        <v>45923</v>
      </c>
      <c r="B975" s="7" t="str">
        <f t="shared" si="2"/>
        <v>Tablet</v>
      </c>
      <c r="C975" s="7" t="str">
        <f t="shared" si="3"/>
        <v>Electronics</v>
      </c>
      <c r="D975" s="7" t="str">
        <f t="shared" si="4"/>
        <v>North</v>
      </c>
      <c r="E975" s="8">
        <f t="shared" si="5"/>
        <v>853</v>
      </c>
      <c r="F975" s="8">
        <f t="shared" si="6"/>
        <v>110.89</v>
      </c>
      <c r="G975" s="9">
        <f t="shared" si="7"/>
        <v>4</v>
      </c>
      <c r="H975" s="7" t="str">
        <f t="shared" si="8"/>
        <v>Sep</v>
      </c>
      <c r="I975" s="7">
        <f t="shared" si="9"/>
        <v>9</v>
      </c>
    </row>
    <row r="976">
      <c r="A976" s="6">
        <f t="shared" si="1"/>
        <v>45907</v>
      </c>
      <c r="B976" s="7" t="str">
        <f t="shared" si="2"/>
        <v>Chair</v>
      </c>
      <c r="C976" s="7" t="str">
        <f t="shared" si="3"/>
        <v>Furniture</v>
      </c>
      <c r="D976" s="7" t="str">
        <f t="shared" si="4"/>
        <v>North</v>
      </c>
      <c r="E976" s="8">
        <f t="shared" si="5"/>
        <v>1022</v>
      </c>
      <c r="F976" s="8">
        <f t="shared" si="6"/>
        <v>265.72</v>
      </c>
      <c r="G976" s="9">
        <f t="shared" si="7"/>
        <v>1</v>
      </c>
      <c r="H976" s="7" t="str">
        <f t="shared" si="8"/>
        <v>Sep</v>
      </c>
      <c r="I976" s="7">
        <f t="shared" si="9"/>
        <v>9</v>
      </c>
    </row>
    <row r="977">
      <c r="A977" s="6">
        <f t="shared" si="1"/>
        <v>45992</v>
      </c>
      <c r="B977" s="7" t="str">
        <f t="shared" si="2"/>
        <v>Chair</v>
      </c>
      <c r="C977" s="7" t="str">
        <f t="shared" si="3"/>
        <v>Furniture</v>
      </c>
      <c r="D977" s="7" t="str">
        <f t="shared" si="4"/>
        <v>South</v>
      </c>
      <c r="E977" s="8">
        <f t="shared" si="5"/>
        <v>1350</v>
      </c>
      <c r="F977" s="8">
        <f t="shared" si="6"/>
        <v>283.5</v>
      </c>
      <c r="G977" s="9">
        <f t="shared" si="7"/>
        <v>3</v>
      </c>
      <c r="H977" s="7" t="str">
        <f t="shared" si="8"/>
        <v>Dec</v>
      </c>
      <c r="I977" s="7">
        <f t="shared" si="9"/>
        <v>12</v>
      </c>
    </row>
    <row r="978">
      <c r="A978" s="6">
        <f t="shared" si="1"/>
        <v>45890</v>
      </c>
      <c r="B978" s="7" t="str">
        <f t="shared" si="2"/>
        <v>Chair</v>
      </c>
      <c r="C978" s="7" t="str">
        <f t="shared" si="3"/>
        <v>Furniture</v>
      </c>
      <c r="D978" s="7" t="str">
        <f t="shared" si="4"/>
        <v>East</v>
      </c>
      <c r="E978" s="8">
        <f t="shared" si="5"/>
        <v>1247</v>
      </c>
      <c r="F978" s="8">
        <f t="shared" si="6"/>
        <v>187.05</v>
      </c>
      <c r="G978" s="9">
        <f t="shared" si="7"/>
        <v>4</v>
      </c>
      <c r="H978" s="7" t="str">
        <f t="shared" si="8"/>
        <v>Aug</v>
      </c>
      <c r="I978" s="7">
        <f t="shared" si="9"/>
        <v>8</v>
      </c>
    </row>
    <row r="979">
      <c r="A979" s="6">
        <f t="shared" si="1"/>
        <v>45814</v>
      </c>
      <c r="B979" s="7" t="str">
        <f t="shared" si="2"/>
        <v>Phone</v>
      </c>
      <c r="C979" s="7" t="str">
        <f t="shared" si="3"/>
        <v>Electronics</v>
      </c>
      <c r="D979" s="7" t="str">
        <f t="shared" si="4"/>
        <v>West</v>
      </c>
      <c r="E979" s="8">
        <f t="shared" si="5"/>
        <v>1892</v>
      </c>
      <c r="F979" s="8">
        <f t="shared" si="6"/>
        <v>548.68</v>
      </c>
      <c r="G979" s="9">
        <f t="shared" si="7"/>
        <v>8</v>
      </c>
      <c r="H979" s="7" t="str">
        <f t="shared" si="8"/>
        <v>Jun</v>
      </c>
      <c r="I979" s="7">
        <f t="shared" si="9"/>
        <v>6</v>
      </c>
    </row>
    <row r="980">
      <c r="A980" s="6">
        <f t="shared" si="1"/>
        <v>45908</v>
      </c>
      <c r="B980" s="7" t="str">
        <f t="shared" si="2"/>
        <v>Phone</v>
      </c>
      <c r="C980" s="7" t="str">
        <f t="shared" si="3"/>
        <v>Electronics</v>
      </c>
      <c r="D980" s="7" t="str">
        <f t="shared" si="4"/>
        <v>South</v>
      </c>
      <c r="E980" s="8">
        <f t="shared" si="5"/>
        <v>1059</v>
      </c>
      <c r="F980" s="8">
        <f t="shared" si="6"/>
        <v>127.08</v>
      </c>
      <c r="G980" s="9">
        <f t="shared" si="7"/>
        <v>2</v>
      </c>
      <c r="H980" s="7" t="str">
        <f t="shared" si="8"/>
        <v>Sep</v>
      </c>
      <c r="I980" s="7">
        <f t="shared" si="9"/>
        <v>9</v>
      </c>
    </row>
    <row r="981">
      <c r="A981" s="6">
        <f t="shared" si="1"/>
        <v>45776</v>
      </c>
      <c r="B981" s="7" t="str">
        <f t="shared" si="2"/>
        <v>Phone</v>
      </c>
      <c r="C981" s="7" t="str">
        <f t="shared" si="3"/>
        <v>Electronics</v>
      </c>
      <c r="D981" s="7" t="str">
        <f t="shared" si="4"/>
        <v>South</v>
      </c>
      <c r="E981" s="8">
        <f t="shared" si="5"/>
        <v>1048</v>
      </c>
      <c r="F981" s="8">
        <f t="shared" si="6"/>
        <v>241.04</v>
      </c>
      <c r="G981" s="9">
        <f t="shared" si="7"/>
        <v>6</v>
      </c>
      <c r="H981" s="7" t="str">
        <f t="shared" si="8"/>
        <v>Apr</v>
      </c>
      <c r="I981" s="7">
        <f t="shared" si="9"/>
        <v>4</v>
      </c>
    </row>
    <row r="982">
      <c r="A982" s="6">
        <f t="shared" si="1"/>
        <v>45897</v>
      </c>
      <c r="B982" s="7" t="str">
        <f t="shared" si="2"/>
        <v>Phone</v>
      </c>
      <c r="C982" s="7" t="str">
        <f t="shared" si="3"/>
        <v>Electronics</v>
      </c>
      <c r="D982" s="7" t="str">
        <f t="shared" si="4"/>
        <v>East</v>
      </c>
      <c r="E982" s="8">
        <f t="shared" si="5"/>
        <v>1034</v>
      </c>
      <c r="F982" s="8">
        <f t="shared" si="6"/>
        <v>144.76</v>
      </c>
      <c r="G982" s="9">
        <f t="shared" si="7"/>
        <v>5</v>
      </c>
      <c r="H982" s="7" t="str">
        <f t="shared" si="8"/>
        <v>Aug</v>
      </c>
      <c r="I982" s="7">
        <f t="shared" si="9"/>
        <v>8</v>
      </c>
    </row>
    <row r="983">
      <c r="A983" s="6">
        <f t="shared" si="1"/>
        <v>45882</v>
      </c>
      <c r="B983" s="7" t="str">
        <f t="shared" si="2"/>
        <v>Chair</v>
      </c>
      <c r="C983" s="7" t="str">
        <f t="shared" si="3"/>
        <v>Furniture</v>
      </c>
      <c r="D983" s="7" t="str">
        <f t="shared" si="4"/>
        <v>South</v>
      </c>
      <c r="E983" s="8">
        <f t="shared" si="5"/>
        <v>695</v>
      </c>
      <c r="F983" s="8">
        <f t="shared" si="6"/>
        <v>83.4</v>
      </c>
      <c r="G983" s="9">
        <f t="shared" si="7"/>
        <v>8</v>
      </c>
      <c r="H983" s="7" t="str">
        <f t="shared" si="8"/>
        <v>Aug</v>
      </c>
      <c r="I983" s="7">
        <f t="shared" si="9"/>
        <v>8</v>
      </c>
    </row>
    <row r="984">
      <c r="A984" s="6">
        <f t="shared" si="1"/>
        <v>45793</v>
      </c>
      <c r="B984" s="7" t="str">
        <f t="shared" si="2"/>
        <v>Tablet</v>
      </c>
      <c r="C984" s="7" t="str">
        <f t="shared" si="3"/>
        <v>Electronics</v>
      </c>
      <c r="D984" s="7" t="str">
        <f t="shared" si="4"/>
        <v>East</v>
      </c>
      <c r="E984" s="8">
        <f t="shared" si="5"/>
        <v>1372</v>
      </c>
      <c r="F984" s="8">
        <f t="shared" si="6"/>
        <v>301.84</v>
      </c>
      <c r="G984" s="9">
        <f t="shared" si="7"/>
        <v>8</v>
      </c>
      <c r="H984" s="7" t="str">
        <f t="shared" si="8"/>
        <v>May</v>
      </c>
      <c r="I984" s="7">
        <f t="shared" si="9"/>
        <v>5</v>
      </c>
    </row>
    <row r="985">
      <c r="A985" s="6">
        <f t="shared" si="1"/>
        <v>45886</v>
      </c>
      <c r="B985" s="7" t="str">
        <f t="shared" si="2"/>
        <v>Chair</v>
      </c>
      <c r="C985" s="7" t="str">
        <f t="shared" si="3"/>
        <v>Furniture</v>
      </c>
      <c r="D985" s="7" t="str">
        <f t="shared" si="4"/>
        <v>East</v>
      </c>
      <c r="E985" s="8">
        <f t="shared" si="5"/>
        <v>1401</v>
      </c>
      <c r="F985" s="8">
        <f t="shared" si="6"/>
        <v>392.28</v>
      </c>
      <c r="G985" s="9">
        <f t="shared" si="7"/>
        <v>9</v>
      </c>
      <c r="H985" s="7" t="str">
        <f t="shared" si="8"/>
        <v>Aug</v>
      </c>
      <c r="I985" s="7">
        <f t="shared" si="9"/>
        <v>8</v>
      </c>
    </row>
    <row r="986">
      <c r="A986" s="6">
        <f t="shared" si="1"/>
        <v>45950</v>
      </c>
      <c r="B986" s="7" t="str">
        <f t="shared" si="2"/>
        <v>Laptop</v>
      </c>
      <c r="C986" s="7" t="str">
        <f t="shared" si="3"/>
        <v>Electronics</v>
      </c>
      <c r="D986" s="7" t="str">
        <f t="shared" si="4"/>
        <v>South</v>
      </c>
      <c r="E986" s="8">
        <f t="shared" si="5"/>
        <v>250</v>
      </c>
      <c r="F986" s="8">
        <f t="shared" si="6"/>
        <v>47.5</v>
      </c>
      <c r="G986" s="9">
        <f t="shared" si="7"/>
        <v>3</v>
      </c>
      <c r="H986" s="7" t="str">
        <f t="shared" si="8"/>
        <v>Oct</v>
      </c>
      <c r="I986" s="7">
        <f t="shared" si="9"/>
        <v>10</v>
      </c>
    </row>
    <row r="987">
      <c r="A987" s="6">
        <f t="shared" si="1"/>
        <v>45861</v>
      </c>
      <c r="B987" s="7" t="str">
        <f t="shared" si="2"/>
        <v>Tablet</v>
      </c>
      <c r="C987" s="7" t="str">
        <f t="shared" si="3"/>
        <v>Electronics</v>
      </c>
      <c r="D987" s="7" t="str">
        <f t="shared" si="4"/>
        <v>South</v>
      </c>
      <c r="E987" s="8">
        <f t="shared" si="5"/>
        <v>1827</v>
      </c>
      <c r="F987" s="8">
        <f t="shared" si="6"/>
        <v>529.83</v>
      </c>
      <c r="G987" s="9">
        <f t="shared" si="7"/>
        <v>6</v>
      </c>
      <c r="H987" s="7" t="str">
        <f t="shared" si="8"/>
        <v>Jul</v>
      </c>
      <c r="I987" s="7">
        <f t="shared" si="9"/>
        <v>7</v>
      </c>
    </row>
    <row r="988">
      <c r="A988" s="6">
        <f t="shared" si="1"/>
        <v>45790</v>
      </c>
      <c r="B988" s="7" t="str">
        <f t="shared" si="2"/>
        <v>Tablet</v>
      </c>
      <c r="C988" s="7" t="str">
        <f t="shared" si="3"/>
        <v>Electronics</v>
      </c>
      <c r="D988" s="7" t="str">
        <f t="shared" si="4"/>
        <v>North</v>
      </c>
      <c r="E988" s="8">
        <f t="shared" si="5"/>
        <v>1541</v>
      </c>
      <c r="F988" s="8">
        <f t="shared" si="6"/>
        <v>308.2</v>
      </c>
      <c r="G988" s="9">
        <f t="shared" si="7"/>
        <v>3</v>
      </c>
      <c r="H988" s="7" t="str">
        <f t="shared" si="8"/>
        <v>May</v>
      </c>
      <c r="I988" s="7">
        <f t="shared" si="9"/>
        <v>5</v>
      </c>
    </row>
    <row r="989">
      <c r="A989" s="6">
        <f t="shared" si="1"/>
        <v>45874</v>
      </c>
      <c r="B989" s="7" t="str">
        <f t="shared" si="2"/>
        <v>Phone</v>
      </c>
      <c r="C989" s="7" t="str">
        <f t="shared" si="3"/>
        <v>Electronics</v>
      </c>
      <c r="D989" s="7" t="str">
        <f t="shared" si="4"/>
        <v>East</v>
      </c>
      <c r="E989" s="8">
        <f t="shared" si="5"/>
        <v>1847</v>
      </c>
      <c r="F989" s="8">
        <f t="shared" si="6"/>
        <v>184.7</v>
      </c>
      <c r="G989" s="9">
        <f t="shared" si="7"/>
        <v>5</v>
      </c>
      <c r="H989" s="7" t="str">
        <f t="shared" si="8"/>
        <v>Aug</v>
      </c>
      <c r="I989" s="7">
        <f t="shared" si="9"/>
        <v>8</v>
      </c>
    </row>
    <row r="990">
      <c r="A990" s="6">
        <f t="shared" si="1"/>
        <v>45821</v>
      </c>
      <c r="B990" s="7" t="str">
        <f t="shared" si="2"/>
        <v>Tablet</v>
      </c>
      <c r="C990" s="7" t="str">
        <f t="shared" si="3"/>
        <v>Electronics</v>
      </c>
      <c r="D990" s="7" t="str">
        <f t="shared" si="4"/>
        <v>North</v>
      </c>
      <c r="E990" s="8">
        <f t="shared" si="5"/>
        <v>361</v>
      </c>
      <c r="F990" s="8">
        <f t="shared" si="6"/>
        <v>43.32</v>
      </c>
      <c r="G990" s="9">
        <f t="shared" si="7"/>
        <v>5</v>
      </c>
      <c r="H990" s="7" t="str">
        <f t="shared" si="8"/>
        <v>Jun</v>
      </c>
      <c r="I990" s="7">
        <f t="shared" si="9"/>
        <v>6</v>
      </c>
    </row>
    <row r="991">
      <c r="A991" s="6">
        <f t="shared" si="1"/>
        <v>45702</v>
      </c>
      <c r="B991" s="7" t="str">
        <f t="shared" si="2"/>
        <v>Phone</v>
      </c>
      <c r="C991" s="7" t="str">
        <f t="shared" si="3"/>
        <v>Electronics</v>
      </c>
      <c r="D991" s="7" t="str">
        <f t="shared" si="4"/>
        <v>West</v>
      </c>
      <c r="E991" s="8">
        <f t="shared" si="5"/>
        <v>1324</v>
      </c>
      <c r="F991" s="8">
        <f t="shared" si="6"/>
        <v>225.08</v>
      </c>
      <c r="G991" s="9">
        <f t="shared" si="7"/>
        <v>7</v>
      </c>
      <c r="H991" s="7" t="str">
        <f t="shared" si="8"/>
        <v>Feb</v>
      </c>
      <c r="I991" s="7">
        <f t="shared" si="9"/>
        <v>2</v>
      </c>
    </row>
    <row r="992">
      <c r="A992" s="6">
        <f t="shared" si="1"/>
        <v>45814</v>
      </c>
      <c r="B992" s="7" t="str">
        <f t="shared" si="2"/>
        <v>Phone</v>
      </c>
      <c r="C992" s="7" t="str">
        <f t="shared" si="3"/>
        <v>Electronics</v>
      </c>
      <c r="D992" s="7" t="str">
        <f t="shared" si="4"/>
        <v>South</v>
      </c>
      <c r="E992" s="8">
        <f t="shared" si="5"/>
        <v>1104</v>
      </c>
      <c r="F992" s="8">
        <f t="shared" si="6"/>
        <v>132.48</v>
      </c>
      <c r="G992" s="9">
        <f t="shared" si="7"/>
        <v>5</v>
      </c>
      <c r="H992" s="7" t="str">
        <f t="shared" si="8"/>
        <v>Jun</v>
      </c>
      <c r="I992" s="7">
        <f t="shared" si="9"/>
        <v>6</v>
      </c>
    </row>
    <row r="993">
      <c r="A993" s="6">
        <f t="shared" si="1"/>
        <v>45870</v>
      </c>
      <c r="B993" s="7" t="str">
        <f t="shared" si="2"/>
        <v>Laptop</v>
      </c>
      <c r="C993" s="7" t="str">
        <f t="shared" si="3"/>
        <v>Electronics</v>
      </c>
      <c r="D993" s="7" t="str">
        <f t="shared" si="4"/>
        <v>South</v>
      </c>
      <c r="E993" s="8">
        <f t="shared" si="5"/>
        <v>814</v>
      </c>
      <c r="F993" s="8">
        <f t="shared" si="6"/>
        <v>179.08</v>
      </c>
      <c r="G993" s="9">
        <f t="shared" si="7"/>
        <v>2</v>
      </c>
      <c r="H993" s="7" t="str">
        <f t="shared" si="8"/>
        <v>Aug</v>
      </c>
      <c r="I993" s="7">
        <f t="shared" si="9"/>
        <v>8</v>
      </c>
    </row>
    <row r="994">
      <c r="A994" s="6">
        <f t="shared" si="1"/>
        <v>45879</v>
      </c>
      <c r="B994" s="7" t="str">
        <f t="shared" si="2"/>
        <v>Laptop</v>
      </c>
      <c r="C994" s="7" t="str">
        <f t="shared" si="3"/>
        <v>Electronics</v>
      </c>
      <c r="D994" s="7" t="str">
        <f t="shared" si="4"/>
        <v>East</v>
      </c>
      <c r="E994" s="8">
        <f t="shared" si="5"/>
        <v>804</v>
      </c>
      <c r="F994" s="8">
        <f t="shared" si="6"/>
        <v>144.72</v>
      </c>
      <c r="G994" s="9">
        <f t="shared" si="7"/>
        <v>2</v>
      </c>
      <c r="H994" s="7" t="str">
        <f t="shared" si="8"/>
        <v>Aug</v>
      </c>
      <c r="I994" s="7">
        <f t="shared" si="9"/>
        <v>8</v>
      </c>
    </row>
    <row r="995">
      <c r="A995" s="6">
        <f t="shared" si="1"/>
        <v>45868</v>
      </c>
      <c r="B995" s="7" t="str">
        <f t="shared" si="2"/>
        <v>Table</v>
      </c>
      <c r="C995" s="7" t="str">
        <f t="shared" si="3"/>
        <v>Furniture</v>
      </c>
      <c r="D995" s="7" t="str">
        <f t="shared" si="4"/>
        <v>South</v>
      </c>
      <c r="E995" s="8">
        <f t="shared" si="5"/>
        <v>1200</v>
      </c>
      <c r="F995" s="8">
        <f t="shared" si="6"/>
        <v>300</v>
      </c>
      <c r="G995" s="9">
        <f t="shared" si="7"/>
        <v>7</v>
      </c>
      <c r="H995" s="7" t="str">
        <f t="shared" si="8"/>
        <v>Jul</v>
      </c>
      <c r="I995" s="7">
        <f t="shared" si="9"/>
        <v>7</v>
      </c>
    </row>
    <row r="996">
      <c r="A996" s="6">
        <f t="shared" si="1"/>
        <v>45949</v>
      </c>
      <c r="B996" s="7" t="str">
        <f t="shared" si="2"/>
        <v>Phone</v>
      </c>
      <c r="C996" s="7" t="str">
        <f t="shared" si="3"/>
        <v>Electronics</v>
      </c>
      <c r="D996" s="7" t="str">
        <f t="shared" si="4"/>
        <v>North</v>
      </c>
      <c r="E996" s="8">
        <f t="shared" si="5"/>
        <v>740</v>
      </c>
      <c r="F996" s="8">
        <f t="shared" si="6"/>
        <v>81.4</v>
      </c>
      <c r="G996" s="9">
        <f t="shared" si="7"/>
        <v>4</v>
      </c>
      <c r="H996" s="7" t="str">
        <f t="shared" si="8"/>
        <v>Oct</v>
      </c>
      <c r="I996" s="7">
        <f t="shared" si="9"/>
        <v>10</v>
      </c>
    </row>
    <row r="997">
      <c r="A997" s="6">
        <f t="shared" si="1"/>
        <v>45703</v>
      </c>
      <c r="B997" s="7" t="str">
        <f t="shared" si="2"/>
        <v>Tablet</v>
      </c>
      <c r="C997" s="7" t="str">
        <f t="shared" si="3"/>
        <v>Electronics</v>
      </c>
      <c r="D997" s="7" t="str">
        <f t="shared" si="4"/>
        <v>South</v>
      </c>
      <c r="E997" s="8">
        <f t="shared" si="5"/>
        <v>786</v>
      </c>
      <c r="F997" s="8">
        <f t="shared" si="6"/>
        <v>204.36</v>
      </c>
      <c r="G997" s="9">
        <f t="shared" si="7"/>
        <v>4</v>
      </c>
      <c r="H997" s="7" t="str">
        <f t="shared" si="8"/>
        <v>Feb</v>
      </c>
      <c r="I997" s="7">
        <f t="shared" si="9"/>
        <v>2</v>
      </c>
    </row>
    <row r="998">
      <c r="A998" s="6">
        <f t="shared" si="1"/>
        <v>45817</v>
      </c>
      <c r="B998" s="7" t="str">
        <f t="shared" si="2"/>
        <v>Table</v>
      </c>
      <c r="C998" s="7" t="str">
        <f t="shared" si="3"/>
        <v>Furniture</v>
      </c>
      <c r="D998" s="7" t="str">
        <f t="shared" si="4"/>
        <v>North</v>
      </c>
      <c r="E998" s="8">
        <f t="shared" si="5"/>
        <v>1875</v>
      </c>
      <c r="F998" s="8">
        <f t="shared" si="6"/>
        <v>318.75</v>
      </c>
      <c r="G998" s="9">
        <f t="shared" si="7"/>
        <v>5</v>
      </c>
      <c r="H998" s="7" t="str">
        <f t="shared" si="8"/>
        <v>Jun</v>
      </c>
      <c r="I998" s="7">
        <f t="shared" si="9"/>
        <v>6</v>
      </c>
    </row>
    <row r="999">
      <c r="A999" s="6">
        <f t="shared" si="1"/>
        <v>45844</v>
      </c>
      <c r="B999" s="7" t="str">
        <f t="shared" si="2"/>
        <v>Chair</v>
      </c>
      <c r="C999" s="7" t="str">
        <f t="shared" si="3"/>
        <v>Furniture</v>
      </c>
      <c r="D999" s="7" t="str">
        <f t="shared" si="4"/>
        <v>North</v>
      </c>
      <c r="E999" s="8">
        <f t="shared" si="5"/>
        <v>1900</v>
      </c>
      <c r="F999" s="8">
        <f t="shared" si="6"/>
        <v>570</v>
      </c>
      <c r="G999" s="9">
        <f t="shared" si="7"/>
        <v>10</v>
      </c>
      <c r="H999" s="7" t="str">
        <f t="shared" si="8"/>
        <v>Jul</v>
      </c>
      <c r="I999" s="7">
        <f t="shared" si="9"/>
        <v>7</v>
      </c>
    </row>
    <row r="1000">
      <c r="A1000" s="6">
        <f t="shared" si="1"/>
        <v>45685</v>
      </c>
      <c r="B1000" s="7" t="str">
        <f t="shared" si="2"/>
        <v>Table</v>
      </c>
      <c r="C1000" s="7" t="str">
        <f t="shared" si="3"/>
        <v>Furniture</v>
      </c>
      <c r="D1000" s="7" t="str">
        <f t="shared" si="4"/>
        <v>West</v>
      </c>
      <c r="E1000" s="8">
        <f t="shared" si="5"/>
        <v>1352</v>
      </c>
      <c r="F1000" s="8">
        <f t="shared" si="6"/>
        <v>202.8</v>
      </c>
      <c r="G1000" s="9">
        <f t="shared" si="7"/>
        <v>4</v>
      </c>
      <c r="H1000" s="7" t="str">
        <f t="shared" si="8"/>
        <v>Jan</v>
      </c>
      <c r="I1000" s="7">
        <f t="shared" si="9"/>
        <v>1</v>
      </c>
    </row>
    <row r="1001">
      <c r="A1001" s="6">
        <f t="shared" si="1"/>
        <v>45935</v>
      </c>
      <c r="B1001" s="7" t="str">
        <f t="shared" si="2"/>
        <v>Monitor</v>
      </c>
      <c r="C1001" s="7" t="str">
        <f t="shared" si="3"/>
        <v>Electronics</v>
      </c>
      <c r="D1001" s="7" t="str">
        <f t="shared" si="4"/>
        <v>West</v>
      </c>
      <c r="E1001" s="8">
        <f t="shared" si="5"/>
        <v>836</v>
      </c>
      <c r="F1001" s="8">
        <f t="shared" si="6"/>
        <v>217.36</v>
      </c>
      <c r="G1001" s="9">
        <f t="shared" si="7"/>
        <v>10</v>
      </c>
      <c r="H1001" s="7" t="str">
        <f t="shared" si="8"/>
        <v>Oct</v>
      </c>
      <c r="I1001" s="7">
        <f t="shared" si="9"/>
        <v>10</v>
      </c>
    </row>
    <row r="1002">
      <c r="A1002" s="10"/>
    </row>
    <row r="1003">
      <c r="A1003" s="10"/>
    </row>
    <row r="1004">
      <c r="A1004" s="10"/>
    </row>
    <row r="1005">
      <c r="A1005" s="10"/>
    </row>
    <row r="1006">
      <c r="A1006" s="10"/>
    </row>
    <row r="1007">
      <c r="A1007" s="10"/>
    </row>
    <row r="1008">
      <c r="A1008" s="10"/>
    </row>
    <row r="1009">
      <c r="A1009" s="10"/>
    </row>
    <row r="1010">
      <c r="A1010" s="10"/>
    </row>
    <row r="1011">
      <c r="A1011" s="10"/>
    </row>
    <row r="1012">
      <c r="A1012" s="10"/>
    </row>
    <row r="1013">
      <c r="A1013" s="10"/>
    </row>
    <row r="1014">
      <c r="A1014" s="10"/>
    </row>
    <row r="1015">
      <c r="A1015" s="10"/>
    </row>
    <row r="1016">
      <c r="A1016" s="10"/>
    </row>
    <row r="1017">
      <c r="A1017" s="10"/>
    </row>
    <row r="1018">
      <c r="A1018" s="10"/>
    </row>
    <row r="1019">
      <c r="A1019" s="10"/>
    </row>
    <row r="1020">
      <c r="A1020" s="10"/>
    </row>
    <row r="1021">
      <c r="A1021" s="10"/>
    </row>
    <row r="1022">
      <c r="A1022" s="10"/>
    </row>
    <row r="1023">
      <c r="A1023" s="10"/>
    </row>
    <row r="1024">
      <c r="A1024" s="10"/>
    </row>
    <row r="1025">
      <c r="A1025" s="10"/>
    </row>
    <row r="1026">
      <c r="A1026" s="10"/>
    </row>
    <row r="1027">
      <c r="A1027" s="10"/>
    </row>
    <row r="1028">
      <c r="A1028" s="10"/>
    </row>
    <row r="1029">
      <c r="A1029" s="10"/>
    </row>
    <row r="1030">
      <c r="A1030" s="10"/>
    </row>
    <row r="1031">
      <c r="A1031" s="10"/>
    </row>
    <row r="1032">
      <c r="A1032" s="10"/>
    </row>
    <row r="1033">
      <c r="A1033" s="10"/>
    </row>
    <row r="1034">
      <c r="A1034" s="10"/>
    </row>
    <row r="1035">
      <c r="A1035" s="10"/>
    </row>
    <row r="1036">
      <c r="A1036" s="10"/>
    </row>
    <row r="1037">
      <c r="A1037" s="10"/>
    </row>
    <row r="1038">
      <c r="A1038" s="10"/>
    </row>
    <row r="1039">
      <c r="A1039" s="10"/>
    </row>
    <row r="1040">
      <c r="A1040" s="10"/>
    </row>
    <row r="1041">
      <c r="A1041" s="10"/>
    </row>
    <row r="1042">
      <c r="A1042" s="10"/>
    </row>
    <row r="1043">
      <c r="A1043" s="10"/>
    </row>
    <row r="1044">
      <c r="A1044" s="10"/>
    </row>
    <row r="1045">
      <c r="A1045" s="10"/>
    </row>
    <row r="1046">
      <c r="A1046" s="10"/>
    </row>
    <row r="1047">
      <c r="A1047" s="10"/>
    </row>
    <row r="1048">
      <c r="A1048" s="10"/>
    </row>
    <row r="1049">
      <c r="A1049" s="10"/>
    </row>
    <row r="1050">
      <c r="A1050" s="10"/>
    </row>
    <row r="1051">
      <c r="A1051" s="10"/>
    </row>
    <row r="1052">
      <c r="A1052" s="10"/>
    </row>
    <row r="1053">
      <c r="A1053" s="10"/>
    </row>
    <row r="1054">
      <c r="A1054" s="10"/>
    </row>
    <row r="1055">
      <c r="A1055" s="10"/>
    </row>
    <row r="1056">
      <c r="A1056" s="10"/>
    </row>
    <row r="1057">
      <c r="A1057" s="10"/>
    </row>
    <row r="1058">
      <c r="A1058" s="10"/>
    </row>
    <row r="1059">
      <c r="A1059" s="10"/>
    </row>
    <row r="1060">
      <c r="A1060" s="10"/>
    </row>
    <row r="1061">
      <c r="A1061" s="10"/>
    </row>
    <row r="1062">
      <c r="A1062" s="10"/>
    </row>
    <row r="1063">
      <c r="A1063" s="10"/>
    </row>
    <row r="1064">
      <c r="A1064" s="10"/>
    </row>
    <row r="1065">
      <c r="A1065" s="10"/>
    </row>
    <row r="1066">
      <c r="A1066" s="10"/>
    </row>
    <row r="1067">
      <c r="A1067" s="10"/>
    </row>
    <row r="1068">
      <c r="A1068" s="10"/>
    </row>
    <row r="1069">
      <c r="A1069" s="10"/>
    </row>
    <row r="1070">
      <c r="A1070" s="10"/>
    </row>
    <row r="1071">
      <c r="A1071" s="10"/>
    </row>
    <row r="1072">
      <c r="A1072" s="10"/>
    </row>
    <row r="1073">
      <c r="A1073" s="10"/>
    </row>
    <row r="1074">
      <c r="A1074" s="10"/>
    </row>
    <row r="1075">
      <c r="A1075" s="10"/>
    </row>
    <row r="1076">
      <c r="A1076" s="10"/>
    </row>
    <row r="1077">
      <c r="A1077" s="10"/>
    </row>
    <row r="1078">
      <c r="A1078" s="10"/>
    </row>
    <row r="1079">
      <c r="A1079" s="10"/>
    </row>
    <row r="1080">
      <c r="A1080" s="10"/>
    </row>
    <row r="1081">
      <c r="A1081" s="10"/>
    </row>
    <row r="1082">
      <c r="A1082" s="10"/>
    </row>
    <row r="1083">
      <c r="A1083" s="10"/>
    </row>
    <row r="1084">
      <c r="A1084" s="10"/>
    </row>
    <row r="1085">
      <c r="A1085" s="10"/>
    </row>
    <row r="1086">
      <c r="A1086" s="10"/>
    </row>
    <row r="1087">
      <c r="A1087" s="10"/>
    </row>
    <row r="1088">
      <c r="A1088" s="10"/>
    </row>
    <row r="1089">
      <c r="A1089" s="10"/>
    </row>
    <row r="1090">
      <c r="A1090" s="10"/>
    </row>
    <row r="1091">
      <c r="A1091" s="10"/>
    </row>
    <row r="1092">
      <c r="A1092" s="10"/>
    </row>
    <row r="1093">
      <c r="A1093" s="10"/>
    </row>
    <row r="1094">
      <c r="A1094" s="10"/>
    </row>
    <row r="1095">
      <c r="A1095" s="10"/>
    </row>
    <row r="1096">
      <c r="A1096" s="10"/>
    </row>
    <row r="1097">
      <c r="A1097" s="10"/>
    </row>
    <row r="1098">
      <c r="A1098" s="10"/>
    </row>
    <row r="1099">
      <c r="A1099" s="10"/>
    </row>
    <row r="1100">
      <c r="A1100" s="10"/>
    </row>
    <row r="1101">
      <c r="A1101" s="10"/>
    </row>
    <row r="1102">
      <c r="A1102" s="10"/>
    </row>
    <row r="1103">
      <c r="A1103" s="10"/>
    </row>
    <row r="1104">
      <c r="A1104" s="10"/>
    </row>
    <row r="1105">
      <c r="A1105" s="10"/>
    </row>
    <row r="1106">
      <c r="A1106" s="10"/>
    </row>
    <row r="1107">
      <c r="A1107" s="10"/>
    </row>
    <row r="1108">
      <c r="A1108" s="10"/>
    </row>
    <row r="1109">
      <c r="A1109" s="10"/>
    </row>
    <row r="1110">
      <c r="A1110" s="10"/>
    </row>
    <row r="1111">
      <c r="A1111" s="10"/>
    </row>
    <row r="1112">
      <c r="A1112" s="10"/>
    </row>
    <row r="1113">
      <c r="A1113" s="10"/>
    </row>
    <row r="1114">
      <c r="A1114" s="10"/>
    </row>
    <row r="1115">
      <c r="A1115" s="10"/>
    </row>
    <row r="1116">
      <c r="A1116" s="10"/>
    </row>
    <row r="1117">
      <c r="A1117" s="10"/>
    </row>
    <row r="1118">
      <c r="A1118" s="10"/>
    </row>
    <row r="1119">
      <c r="A1119" s="10"/>
    </row>
    <row r="1120">
      <c r="A1120" s="10"/>
    </row>
    <row r="1121">
      <c r="A1121" s="10"/>
    </row>
    <row r="1122">
      <c r="A1122" s="10"/>
    </row>
    <row r="1123">
      <c r="A1123" s="10"/>
    </row>
    <row r="1124">
      <c r="A1124" s="10"/>
    </row>
    <row r="1125">
      <c r="A1125" s="10"/>
    </row>
    <row r="1126">
      <c r="A1126" s="10"/>
    </row>
    <row r="1127">
      <c r="A1127" s="10"/>
    </row>
    <row r="1128">
      <c r="A1128" s="10"/>
    </row>
    <row r="1129">
      <c r="A1129" s="10"/>
    </row>
    <row r="1130">
      <c r="A1130" s="10"/>
    </row>
    <row r="1131">
      <c r="A1131" s="10"/>
    </row>
    <row r="1132">
      <c r="A1132" s="10"/>
    </row>
    <row r="1133">
      <c r="A1133" s="10"/>
    </row>
    <row r="1134">
      <c r="A1134" s="10"/>
    </row>
    <row r="1135">
      <c r="A1135" s="10"/>
    </row>
    <row r="1136">
      <c r="A1136" s="10"/>
    </row>
    <row r="1137">
      <c r="A1137" s="10"/>
    </row>
    <row r="1138">
      <c r="A1138" s="10"/>
    </row>
    <row r="1139">
      <c r="A1139" s="10"/>
    </row>
    <row r="1140">
      <c r="A1140" s="10"/>
    </row>
    <row r="1141">
      <c r="A1141" s="10"/>
    </row>
    <row r="1142">
      <c r="A1142" s="10"/>
    </row>
    <row r="1143">
      <c r="A1143" s="10"/>
    </row>
    <row r="1144">
      <c r="A1144" s="10"/>
    </row>
    <row r="1145">
      <c r="A1145" s="10"/>
    </row>
    <row r="1146">
      <c r="A1146" s="10"/>
    </row>
    <row r="1147">
      <c r="A1147" s="10"/>
    </row>
    <row r="1148">
      <c r="A1148" s="10"/>
    </row>
    <row r="1149">
      <c r="A1149" s="10"/>
    </row>
    <row r="1150">
      <c r="A1150" s="10"/>
    </row>
    <row r="1151">
      <c r="A1151" s="10"/>
    </row>
    <row r="1152">
      <c r="A1152" s="10"/>
    </row>
    <row r="1153">
      <c r="A1153" s="10"/>
    </row>
    <row r="1154">
      <c r="A1154" s="10"/>
    </row>
    <row r="1155">
      <c r="A1155" s="10"/>
    </row>
    <row r="1156">
      <c r="A1156" s="10"/>
    </row>
    <row r="1157">
      <c r="A1157" s="10"/>
    </row>
    <row r="1158">
      <c r="A1158" s="10"/>
    </row>
    <row r="1159">
      <c r="A1159" s="10"/>
    </row>
    <row r="1160">
      <c r="A1160" s="10"/>
    </row>
    <row r="1161">
      <c r="A1161" s="10"/>
    </row>
    <row r="1162">
      <c r="A1162" s="10"/>
    </row>
    <row r="1163">
      <c r="A1163" s="10"/>
    </row>
    <row r="1164">
      <c r="A1164" s="10"/>
    </row>
    <row r="1165">
      <c r="A1165" s="10"/>
    </row>
    <row r="1166">
      <c r="A1166" s="10"/>
    </row>
    <row r="1167">
      <c r="A1167" s="10"/>
    </row>
    <row r="1168">
      <c r="A1168" s="10"/>
    </row>
    <row r="1169">
      <c r="A1169" s="10"/>
    </row>
    <row r="1170">
      <c r="A1170" s="10"/>
    </row>
    <row r="1171">
      <c r="A1171" s="10"/>
    </row>
    <row r="1172">
      <c r="A1172" s="10"/>
    </row>
    <row r="1173">
      <c r="A1173" s="10"/>
    </row>
    <row r="1174">
      <c r="A1174" s="10"/>
    </row>
    <row r="1175">
      <c r="A1175" s="10"/>
    </row>
    <row r="1176">
      <c r="A1176" s="10"/>
    </row>
    <row r="1177">
      <c r="A1177" s="10"/>
    </row>
    <row r="1178">
      <c r="A1178" s="10"/>
    </row>
    <row r="1179">
      <c r="A1179" s="10"/>
    </row>
    <row r="1180">
      <c r="A1180" s="10"/>
    </row>
    <row r="1181">
      <c r="A1181" s="10"/>
    </row>
    <row r="1182">
      <c r="A1182" s="10"/>
    </row>
    <row r="1183">
      <c r="A1183" s="10"/>
    </row>
    <row r="1184">
      <c r="A1184" s="10"/>
    </row>
    <row r="1185">
      <c r="A1185" s="10"/>
    </row>
    <row r="1186">
      <c r="A1186" s="10"/>
    </row>
    <row r="1187">
      <c r="A1187" s="10"/>
    </row>
    <row r="1188">
      <c r="A1188" s="10"/>
    </row>
    <row r="1189">
      <c r="A1189" s="10"/>
    </row>
    <row r="1190">
      <c r="A1190" s="10"/>
    </row>
    <row r="1191">
      <c r="A1191" s="10"/>
    </row>
    <row r="1192">
      <c r="A1192" s="10"/>
    </row>
    <row r="1193">
      <c r="A1193" s="10"/>
    </row>
    <row r="1194">
      <c r="A1194" s="10"/>
    </row>
    <row r="1195">
      <c r="A1195" s="10"/>
    </row>
    <row r="1196">
      <c r="A1196" s="10"/>
    </row>
    <row r="1197">
      <c r="A1197" s="10"/>
    </row>
    <row r="1198">
      <c r="A1198" s="10"/>
    </row>
    <row r="1199">
      <c r="A1199" s="10"/>
    </row>
    <row r="1200">
      <c r="A1200" s="10"/>
    </row>
    <row r="1201">
      <c r="A1201" s="10"/>
    </row>
    <row r="1202">
      <c r="A1202" s="10"/>
    </row>
    <row r="1203">
      <c r="A1203" s="10"/>
    </row>
    <row r="1204">
      <c r="A1204" s="10"/>
    </row>
    <row r="1205">
      <c r="A1205" s="10"/>
    </row>
    <row r="1206">
      <c r="A1206" s="10"/>
    </row>
    <row r="1207">
      <c r="A1207" s="10"/>
    </row>
    <row r="1208">
      <c r="A1208" s="10"/>
    </row>
    <row r="1209">
      <c r="A1209" s="10"/>
    </row>
    <row r="1210">
      <c r="A1210" s="10"/>
    </row>
    <row r="1211">
      <c r="A1211" s="10"/>
    </row>
    <row r="1212">
      <c r="A1212" s="10"/>
    </row>
    <row r="1213">
      <c r="A1213" s="10"/>
    </row>
    <row r="1214">
      <c r="A1214" s="10"/>
    </row>
    <row r="1215">
      <c r="A1215" s="10"/>
    </row>
    <row r="1216">
      <c r="A1216" s="10"/>
    </row>
    <row r="1217">
      <c r="A1217" s="10"/>
    </row>
    <row r="1218">
      <c r="A1218" s="10"/>
    </row>
    <row r="1219">
      <c r="A1219" s="10"/>
    </row>
    <row r="1220">
      <c r="A1220" s="10"/>
    </row>
    <row r="1221">
      <c r="A1221" s="10"/>
    </row>
    <row r="1222">
      <c r="A1222" s="10"/>
    </row>
    <row r="1223">
      <c r="A1223" s="10"/>
    </row>
    <row r="1224">
      <c r="A1224" s="10"/>
    </row>
    <row r="1225">
      <c r="A1225" s="10"/>
    </row>
    <row r="1226">
      <c r="A1226" s="10"/>
    </row>
    <row r="1227">
      <c r="A1227" s="10"/>
    </row>
    <row r="1228">
      <c r="A1228" s="10"/>
    </row>
    <row r="1229">
      <c r="A1229" s="10"/>
    </row>
    <row r="1230">
      <c r="A1230" s="10"/>
    </row>
    <row r="1231">
      <c r="A1231" s="10"/>
    </row>
    <row r="1232">
      <c r="A1232" s="10"/>
    </row>
    <row r="1233">
      <c r="A1233" s="10"/>
    </row>
    <row r="1234">
      <c r="A1234" s="10"/>
    </row>
    <row r="1235">
      <c r="A1235" s="10"/>
    </row>
    <row r="1236">
      <c r="A1236" s="10"/>
    </row>
    <row r="1237">
      <c r="A1237" s="10"/>
    </row>
    <row r="1238">
      <c r="A1238" s="10"/>
    </row>
    <row r="1239">
      <c r="A1239" s="10"/>
    </row>
    <row r="1240">
      <c r="A1240" s="10"/>
    </row>
    <row r="1241">
      <c r="A1241" s="10"/>
    </row>
    <row r="1242">
      <c r="A1242" s="10"/>
    </row>
    <row r="1243">
      <c r="A1243" s="10"/>
    </row>
    <row r="1244">
      <c r="A1244" s="10"/>
    </row>
    <row r="1245">
      <c r="A1245" s="10"/>
    </row>
    <row r="1246">
      <c r="A1246" s="10"/>
    </row>
    <row r="1247">
      <c r="A1247" s="10"/>
    </row>
    <row r="1248">
      <c r="A1248" s="10"/>
    </row>
    <row r="1249">
      <c r="A1249" s="10"/>
    </row>
    <row r="1250">
      <c r="A1250" s="10"/>
    </row>
    <row r="1251">
      <c r="A1251" s="10"/>
    </row>
    <row r="1252">
      <c r="A1252" s="10"/>
    </row>
    <row r="1253">
      <c r="A1253" s="10"/>
    </row>
    <row r="1254">
      <c r="A1254" s="10"/>
    </row>
    <row r="1255">
      <c r="A1255" s="10"/>
    </row>
    <row r="1256">
      <c r="A1256" s="10"/>
    </row>
    <row r="1257">
      <c r="A1257" s="10"/>
    </row>
    <row r="1258">
      <c r="A1258" s="10"/>
    </row>
    <row r="1259">
      <c r="A1259" s="10"/>
    </row>
    <row r="1260">
      <c r="A1260" s="10"/>
    </row>
    <row r="1261">
      <c r="A1261" s="10"/>
    </row>
    <row r="1262">
      <c r="A1262" s="10"/>
    </row>
    <row r="1263">
      <c r="A1263" s="10"/>
    </row>
    <row r="1264">
      <c r="A1264" s="10"/>
    </row>
    <row r="1265">
      <c r="A1265" s="10"/>
    </row>
    <row r="1266">
      <c r="A1266" s="10"/>
    </row>
    <row r="1267">
      <c r="A1267" s="10"/>
    </row>
    <row r="1268">
      <c r="A1268" s="10"/>
    </row>
    <row r="1269">
      <c r="A1269" s="10"/>
    </row>
    <row r="1270">
      <c r="A1270" s="10"/>
    </row>
    <row r="1271">
      <c r="A1271" s="10"/>
    </row>
    <row r="1272">
      <c r="A1272" s="10"/>
    </row>
    <row r="1273">
      <c r="A1273" s="10"/>
    </row>
    <row r="1274">
      <c r="A1274" s="10"/>
    </row>
    <row r="1275">
      <c r="A1275" s="10"/>
    </row>
    <row r="1276">
      <c r="A1276" s="10"/>
    </row>
    <row r="1277">
      <c r="A1277" s="10"/>
    </row>
    <row r="1278">
      <c r="A1278" s="10"/>
    </row>
    <row r="1279">
      <c r="A1279" s="10"/>
    </row>
    <row r="1280">
      <c r="A1280" s="10"/>
    </row>
    <row r="1281">
      <c r="A1281" s="10"/>
    </row>
    <row r="1282">
      <c r="A1282" s="10"/>
    </row>
    <row r="1283">
      <c r="A1283" s="10"/>
    </row>
    <row r="1284">
      <c r="A1284" s="10"/>
    </row>
    <row r="1285">
      <c r="A1285" s="10"/>
    </row>
    <row r="1286">
      <c r="A1286" s="10"/>
    </row>
    <row r="1287">
      <c r="A1287" s="10"/>
    </row>
    <row r="1288">
      <c r="A1288" s="10"/>
    </row>
    <row r="1289">
      <c r="A1289" s="10"/>
    </row>
    <row r="1290">
      <c r="A1290" s="10"/>
    </row>
    <row r="1291">
      <c r="A1291" s="10"/>
    </row>
    <row r="1292">
      <c r="A1292" s="10"/>
    </row>
    <row r="1293">
      <c r="A1293" s="10"/>
    </row>
    <row r="1294">
      <c r="A1294" s="10"/>
    </row>
    <row r="1295">
      <c r="A1295" s="10"/>
    </row>
    <row r="1296">
      <c r="A1296" s="10"/>
    </row>
    <row r="1297">
      <c r="A1297" s="10"/>
    </row>
    <row r="1298">
      <c r="A1298" s="10"/>
    </row>
    <row r="1299">
      <c r="A1299" s="10"/>
    </row>
    <row r="1300">
      <c r="A1300" s="10"/>
    </row>
    <row r="1301">
      <c r="A1301" s="10"/>
    </row>
    <row r="1302">
      <c r="A1302" s="10"/>
    </row>
    <row r="1303">
      <c r="A1303" s="10"/>
    </row>
    <row r="1304">
      <c r="A1304" s="10"/>
    </row>
    <row r="1305">
      <c r="A1305" s="10"/>
    </row>
    <row r="1306">
      <c r="A1306" s="10"/>
    </row>
    <row r="1307">
      <c r="A1307" s="10"/>
    </row>
    <row r="1308">
      <c r="A1308" s="10"/>
    </row>
    <row r="1309">
      <c r="A1309" s="10"/>
    </row>
    <row r="1310">
      <c r="A1310" s="10"/>
    </row>
    <row r="1311">
      <c r="A1311" s="10"/>
    </row>
    <row r="1312">
      <c r="A1312" s="10"/>
    </row>
    <row r="1313">
      <c r="A1313" s="10"/>
    </row>
    <row r="1314">
      <c r="A1314" s="10"/>
    </row>
    <row r="1315">
      <c r="A1315" s="10"/>
    </row>
    <row r="1316">
      <c r="A1316" s="10"/>
    </row>
    <row r="1317">
      <c r="A1317" s="10"/>
    </row>
    <row r="1318">
      <c r="A1318" s="10"/>
    </row>
    <row r="1319">
      <c r="A1319" s="10"/>
    </row>
    <row r="1320">
      <c r="A1320" s="10"/>
    </row>
    <row r="1321">
      <c r="A1321" s="10"/>
    </row>
    <row r="1322">
      <c r="A1322" s="10"/>
    </row>
    <row r="1323">
      <c r="A1323" s="10"/>
    </row>
    <row r="1324">
      <c r="A1324" s="10"/>
    </row>
    <row r="1325">
      <c r="A1325" s="10"/>
    </row>
    <row r="1326">
      <c r="A1326" s="10"/>
    </row>
    <row r="1327">
      <c r="A1327" s="10"/>
    </row>
    <row r="1328">
      <c r="A1328" s="10"/>
    </row>
    <row r="1329">
      <c r="A1329" s="10"/>
    </row>
    <row r="1330">
      <c r="A1330" s="10"/>
    </row>
    <row r="1331">
      <c r="A1331" s="10"/>
    </row>
    <row r="1332">
      <c r="A1332" s="10"/>
    </row>
    <row r="1333">
      <c r="A1333" s="10"/>
    </row>
    <row r="1334">
      <c r="A1334" s="10"/>
    </row>
    <row r="1335">
      <c r="A1335" s="10"/>
    </row>
    <row r="1336">
      <c r="A1336" s="10"/>
    </row>
    <row r="1337">
      <c r="A1337" s="10"/>
    </row>
    <row r="1338">
      <c r="A1338" s="10"/>
    </row>
    <row r="1339">
      <c r="A1339" s="10"/>
    </row>
    <row r="1340">
      <c r="A1340" s="10"/>
    </row>
    <row r="1341">
      <c r="A1341" s="10"/>
    </row>
    <row r="1342">
      <c r="A1342" s="10"/>
    </row>
    <row r="1343">
      <c r="A1343" s="10"/>
    </row>
    <row r="1344">
      <c r="A1344" s="10"/>
    </row>
    <row r="1345">
      <c r="A1345" s="10"/>
    </row>
    <row r="1346">
      <c r="A1346" s="10"/>
    </row>
    <row r="1347">
      <c r="A1347" s="10"/>
    </row>
    <row r="1348">
      <c r="A1348" s="10"/>
    </row>
    <row r="1349">
      <c r="A1349" s="10"/>
    </row>
    <row r="1350">
      <c r="A1350" s="10"/>
    </row>
    <row r="1351">
      <c r="A1351" s="10"/>
    </row>
    <row r="1352">
      <c r="A1352" s="10"/>
    </row>
    <row r="1353">
      <c r="A1353" s="10"/>
    </row>
    <row r="1354">
      <c r="A1354" s="10"/>
    </row>
    <row r="1355">
      <c r="A1355" s="10"/>
    </row>
    <row r="1356">
      <c r="A1356" s="10"/>
    </row>
    <row r="1357">
      <c r="A1357" s="10"/>
    </row>
    <row r="1358">
      <c r="A1358" s="10"/>
    </row>
    <row r="1359">
      <c r="A1359" s="10"/>
    </row>
    <row r="1360">
      <c r="A1360" s="10"/>
    </row>
    <row r="1361">
      <c r="A1361" s="10"/>
    </row>
    <row r="1362">
      <c r="A1362" s="10"/>
    </row>
    <row r="1363">
      <c r="A1363" s="10"/>
    </row>
    <row r="1364">
      <c r="A1364" s="10"/>
    </row>
    <row r="1365">
      <c r="A1365" s="10"/>
    </row>
    <row r="1366">
      <c r="A1366" s="10"/>
    </row>
    <row r="1367">
      <c r="A1367" s="10"/>
    </row>
    <row r="1368">
      <c r="A1368" s="10"/>
    </row>
    <row r="1369">
      <c r="A1369" s="10"/>
    </row>
    <row r="1370">
      <c r="A1370" s="10"/>
    </row>
    <row r="1371">
      <c r="A1371" s="10"/>
    </row>
    <row r="1372">
      <c r="A1372" s="10"/>
    </row>
    <row r="1373">
      <c r="A1373" s="10"/>
    </row>
    <row r="1374">
      <c r="A1374" s="10"/>
    </row>
    <row r="1375">
      <c r="A1375" s="10"/>
    </row>
    <row r="1376">
      <c r="A1376" s="10"/>
    </row>
    <row r="1377">
      <c r="A1377" s="10"/>
    </row>
    <row r="1378">
      <c r="A1378" s="10"/>
    </row>
    <row r="1379">
      <c r="A1379" s="10"/>
    </row>
    <row r="1380">
      <c r="A1380" s="10"/>
    </row>
    <row r="1381">
      <c r="A1381" s="10"/>
    </row>
    <row r="1382">
      <c r="A1382" s="10"/>
    </row>
    <row r="1383">
      <c r="A1383" s="10"/>
    </row>
    <row r="1384">
      <c r="A1384" s="10"/>
    </row>
    <row r="1385">
      <c r="A1385" s="10"/>
    </row>
    <row r="1386">
      <c r="A1386" s="10"/>
    </row>
    <row r="1387">
      <c r="A1387" s="10"/>
    </row>
    <row r="1388">
      <c r="A1388" s="10"/>
    </row>
    <row r="1389">
      <c r="A1389" s="10"/>
    </row>
    <row r="1390">
      <c r="A1390" s="10"/>
    </row>
    <row r="1391">
      <c r="A1391" s="10"/>
    </row>
    <row r="1392">
      <c r="A1392" s="10"/>
    </row>
    <row r="1393">
      <c r="A1393" s="10"/>
    </row>
    <row r="1394">
      <c r="A1394" s="10"/>
    </row>
    <row r="1395">
      <c r="A1395" s="10"/>
    </row>
    <row r="1396">
      <c r="A1396" s="10"/>
    </row>
    <row r="1397">
      <c r="A1397" s="10"/>
    </row>
    <row r="1398">
      <c r="A1398" s="10"/>
    </row>
    <row r="1399">
      <c r="A1399" s="10"/>
    </row>
    <row r="1400">
      <c r="A1400" s="10"/>
    </row>
    <row r="1401">
      <c r="A1401" s="10"/>
    </row>
    <row r="1402">
      <c r="A1402" s="10"/>
    </row>
    <row r="1403">
      <c r="A1403" s="10"/>
    </row>
    <row r="1404">
      <c r="A1404" s="10"/>
    </row>
    <row r="1405">
      <c r="A1405" s="10"/>
    </row>
    <row r="1406">
      <c r="A1406" s="10"/>
    </row>
    <row r="1407">
      <c r="A1407" s="10"/>
    </row>
    <row r="1408">
      <c r="A1408" s="10"/>
    </row>
    <row r="1409">
      <c r="A1409" s="10"/>
    </row>
    <row r="1410">
      <c r="A1410" s="10"/>
    </row>
    <row r="1411">
      <c r="A1411" s="10"/>
    </row>
    <row r="1412">
      <c r="A1412" s="10"/>
    </row>
    <row r="1413">
      <c r="A1413" s="10"/>
    </row>
    <row r="1414">
      <c r="A1414" s="10"/>
    </row>
    <row r="1415">
      <c r="A1415" s="10"/>
    </row>
    <row r="1416">
      <c r="A1416" s="10"/>
    </row>
    <row r="1417">
      <c r="A1417" s="10"/>
    </row>
    <row r="1418">
      <c r="A1418" s="10"/>
    </row>
    <row r="1419">
      <c r="A1419" s="10"/>
    </row>
    <row r="1420">
      <c r="A1420" s="10"/>
    </row>
    <row r="1421">
      <c r="A1421" s="10"/>
    </row>
    <row r="1422">
      <c r="A1422" s="10"/>
    </row>
    <row r="1423">
      <c r="A1423" s="10"/>
    </row>
    <row r="1424">
      <c r="A1424" s="10"/>
    </row>
    <row r="1425">
      <c r="A1425" s="10"/>
    </row>
    <row r="1426">
      <c r="A1426" s="10"/>
    </row>
    <row r="1427">
      <c r="A1427" s="10"/>
    </row>
    <row r="1428">
      <c r="A1428" s="10"/>
    </row>
    <row r="1429">
      <c r="A1429" s="10"/>
    </row>
    <row r="1430">
      <c r="A1430" s="10"/>
    </row>
    <row r="1431">
      <c r="A1431" s="10"/>
    </row>
    <row r="1432">
      <c r="A1432" s="10"/>
    </row>
    <row r="1433">
      <c r="A1433" s="10"/>
    </row>
    <row r="1434">
      <c r="A1434" s="10"/>
    </row>
    <row r="1435">
      <c r="A1435" s="10"/>
    </row>
    <row r="1436">
      <c r="A1436" s="10"/>
    </row>
    <row r="1437">
      <c r="A1437" s="10"/>
    </row>
    <row r="1438">
      <c r="A1438" s="10"/>
    </row>
    <row r="1439">
      <c r="A1439" s="10"/>
    </row>
    <row r="1440">
      <c r="A1440" s="10"/>
    </row>
    <row r="1441">
      <c r="A1441" s="10"/>
    </row>
    <row r="1442">
      <c r="A1442" s="10"/>
    </row>
    <row r="1443">
      <c r="A1443" s="10"/>
    </row>
    <row r="1444">
      <c r="A1444" s="10"/>
    </row>
    <row r="1445">
      <c r="A1445" s="10"/>
    </row>
    <row r="1446">
      <c r="A1446" s="10"/>
    </row>
    <row r="1447">
      <c r="A1447" s="10"/>
    </row>
    <row r="1448">
      <c r="A1448" s="10"/>
    </row>
    <row r="1449">
      <c r="A1449" s="10"/>
    </row>
    <row r="1450">
      <c r="A1450" s="10"/>
    </row>
    <row r="1451">
      <c r="A1451" s="10"/>
    </row>
    <row r="1452">
      <c r="A1452" s="10"/>
    </row>
    <row r="1453">
      <c r="A1453" s="10"/>
    </row>
    <row r="1454">
      <c r="A1454" s="10"/>
    </row>
    <row r="1455">
      <c r="A1455" s="10"/>
    </row>
    <row r="1456">
      <c r="A1456" s="10"/>
    </row>
    <row r="1457">
      <c r="A1457" s="10"/>
    </row>
    <row r="1458">
      <c r="A1458" s="10"/>
    </row>
    <row r="1459">
      <c r="A1459" s="10"/>
    </row>
    <row r="1460">
      <c r="A1460" s="10"/>
    </row>
    <row r="1461">
      <c r="A1461" s="10"/>
    </row>
    <row r="1462">
      <c r="A1462" s="10"/>
    </row>
    <row r="1463">
      <c r="A1463" s="10"/>
    </row>
    <row r="1464">
      <c r="A1464" s="10"/>
    </row>
    <row r="1465">
      <c r="A1465" s="10"/>
    </row>
    <row r="1466">
      <c r="A1466" s="10"/>
    </row>
    <row r="1467">
      <c r="A1467" s="10"/>
    </row>
    <row r="1468">
      <c r="A1468" s="10"/>
    </row>
    <row r="1469">
      <c r="A1469" s="10"/>
    </row>
    <row r="1470">
      <c r="A1470" s="10"/>
    </row>
    <row r="1471">
      <c r="A1471" s="10"/>
    </row>
    <row r="1472">
      <c r="A1472" s="10"/>
    </row>
    <row r="1473">
      <c r="A1473" s="10"/>
    </row>
    <row r="1474">
      <c r="A1474" s="10"/>
    </row>
    <row r="1475">
      <c r="A1475" s="10"/>
    </row>
    <row r="1476">
      <c r="A1476" s="10"/>
    </row>
    <row r="1477">
      <c r="A1477" s="10"/>
    </row>
    <row r="1478">
      <c r="A1478" s="10"/>
    </row>
    <row r="1479">
      <c r="A1479" s="10"/>
    </row>
    <row r="1480">
      <c r="A1480" s="10"/>
    </row>
    <row r="1481">
      <c r="A1481" s="10"/>
    </row>
    <row r="1482">
      <c r="A1482" s="10"/>
    </row>
    <row r="1483">
      <c r="A1483" s="10"/>
    </row>
    <row r="1484">
      <c r="A1484" s="10"/>
    </row>
    <row r="1485">
      <c r="A1485" s="10"/>
    </row>
    <row r="1486">
      <c r="A1486" s="10"/>
    </row>
    <row r="1487">
      <c r="A1487" s="10"/>
    </row>
    <row r="1488">
      <c r="A1488" s="10"/>
    </row>
    <row r="1489">
      <c r="A1489" s="10"/>
    </row>
    <row r="1490">
      <c r="A1490" s="10"/>
    </row>
    <row r="1491">
      <c r="A1491" s="10"/>
    </row>
    <row r="1492">
      <c r="A1492" s="10"/>
    </row>
    <row r="1493">
      <c r="A1493" s="10"/>
    </row>
    <row r="1494">
      <c r="A1494" s="10"/>
    </row>
    <row r="1495">
      <c r="A1495" s="10"/>
    </row>
    <row r="1496">
      <c r="A1496" s="10"/>
    </row>
    <row r="1497">
      <c r="A1497" s="10"/>
    </row>
    <row r="1498">
      <c r="A1498" s="10"/>
    </row>
    <row r="1499">
      <c r="A1499" s="10"/>
    </row>
    <row r="1500">
      <c r="A1500" s="10"/>
    </row>
    <row r="1501">
      <c r="A1501" s="10"/>
    </row>
    <row r="1502">
      <c r="A1502" s="10"/>
    </row>
    <row r="1503">
      <c r="A1503" s="10"/>
    </row>
    <row r="1504">
      <c r="A1504" s="10"/>
    </row>
    <row r="1505">
      <c r="A1505" s="10"/>
    </row>
    <row r="1506">
      <c r="A1506" s="10"/>
    </row>
    <row r="1507">
      <c r="A1507" s="10"/>
    </row>
    <row r="1508">
      <c r="A1508" s="10"/>
    </row>
    <row r="1509">
      <c r="A1509" s="10"/>
    </row>
    <row r="1510">
      <c r="A1510" s="10"/>
    </row>
    <row r="1511">
      <c r="A1511" s="10"/>
    </row>
    <row r="1512">
      <c r="A1512" s="10"/>
    </row>
    <row r="1513">
      <c r="A1513" s="10"/>
    </row>
    <row r="1514">
      <c r="A1514" s="10"/>
    </row>
    <row r="1515">
      <c r="A1515" s="10"/>
    </row>
    <row r="1516">
      <c r="A1516" s="10"/>
    </row>
    <row r="1517">
      <c r="A1517" s="10"/>
    </row>
    <row r="1518">
      <c r="A1518" s="10"/>
    </row>
    <row r="1519">
      <c r="A1519" s="10"/>
    </row>
    <row r="1520">
      <c r="A1520" s="10"/>
    </row>
    <row r="1521">
      <c r="A1521" s="10"/>
    </row>
    <row r="1522">
      <c r="A1522" s="10"/>
    </row>
    <row r="1523">
      <c r="A1523" s="10"/>
    </row>
    <row r="1524">
      <c r="A1524" s="10"/>
    </row>
    <row r="1525">
      <c r="A1525" s="10"/>
    </row>
    <row r="1526">
      <c r="A1526" s="10"/>
    </row>
    <row r="1527">
      <c r="A1527" s="10"/>
    </row>
    <row r="1528">
      <c r="A1528" s="10"/>
    </row>
    <row r="1529">
      <c r="A1529" s="10"/>
    </row>
    <row r="1530">
      <c r="A1530" s="10"/>
    </row>
    <row r="1531">
      <c r="A1531" s="10"/>
    </row>
    <row r="1532">
      <c r="A1532" s="10"/>
    </row>
    <row r="1533">
      <c r="A1533" s="10"/>
    </row>
    <row r="1534">
      <c r="A1534" s="10"/>
    </row>
    <row r="1535">
      <c r="A1535" s="10"/>
    </row>
    <row r="1536">
      <c r="A1536" s="10"/>
    </row>
    <row r="1537">
      <c r="A1537" s="10"/>
    </row>
    <row r="1538">
      <c r="A1538" s="10"/>
    </row>
    <row r="1539">
      <c r="A1539" s="10"/>
    </row>
    <row r="1540">
      <c r="A1540" s="10"/>
    </row>
    <row r="1541">
      <c r="A1541" s="10"/>
    </row>
    <row r="1542">
      <c r="A1542" s="10"/>
    </row>
    <row r="1543">
      <c r="A1543" s="10"/>
    </row>
    <row r="1544">
      <c r="A1544" s="10"/>
    </row>
    <row r="1545">
      <c r="A1545" s="10"/>
    </row>
    <row r="1546">
      <c r="A1546" s="10"/>
    </row>
    <row r="1547">
      <c r="A1547" s="10"/>
    </row>
    <row r="1548">
      <c r="A1548" s="10"/>
    </row>
    <row r="1549">
      <c r="A1549" s="10"/>
    </row>
    <row r="1550">
      <c r="A1550" s="10"/>
    </row>
    <row r="1551">
      <c r="A1551" s="10"/>
    </row>
    <row r="1552">
      <c r="A1552" s="10"/>
    </row>
    <row r="1553">
      <c r="A1553" s="10"/>
    </row>
    <row r="1554">
      <c r="A1554" s="10"/>
    </row>
    <row r="1555">
      <c r="A1555" s="10"/>
    </row>
    <row r="1556">
      <c r="A1556" s="10"/>
    </row>
    <row r="1557">
      <c r="A1557" s="10"/>
    </row>
    <row r="1558">
      <c r="A1558" s="10"/>
    </row>
    <row r="1559">
      <c r="A1559" s="10"/>
    </row>
    <row r="1560">
      <c r="A1560" s="10"/>
    </row>
    <row r="1561">
      <c r="A1561" s="10"/>
    </row>
    <row r="1562">
      <c r="A1562" s="10"/>
    </row>
    <row r="1563">
      <c r="A1563" s="10"/>
    </row>
    <row r="1564">
      <c r="A1564" s="10"/>
    </row>
    <row r="1565">
      <c r="A1565" s="10"/>
    </row>
    <row r="1566">
      <c r="A1566" s="10"/>
    </row>
    <row r="1567">
      <c r="A1567" s="10"/>
    </row>
    <row r="1568">
      <c r="A1568" s="10"/>
    </row>
    <row r="1569">
      <c r="A1569" s="10"/>
    </row>
    <row r="1570">
      <c r="A1570" s="10"/>
    </row>
    <row r="1571">
      <c r="A1571" s="10"/>
    </row>
    <row r="1572">
      <c r="A1572" s="10"/>
    </row>
    <row r="1573">
      <c r="A1573" s="10"/>
    </row>
    <row r="1574">
      <c r="A1574" s="10"/>
    </row>
    <row r="1575">
      <c r="A1575" s="10"/>
    </row>
    <row r="1576">
      <c r="A1576" s="10"/>
    </row>
    <row r="1577">
      <c r="A1577" s="10"/>
    </row>
    <row r="1578">
      <c r="A1578" s="10"/>
    </row>
    <row r="1579">
      <c r="A1579" s="10"/>
    </row>
    <row r="1580">
      <c r="A1580" s="10"/>
    </row>
    <row r="1581">
      <c r="A1581" s="10"/>
    </row>
    <row r="1582">
      <c r="A1582" s="10"/>
    </row>
    <row r="1583">
      <c r="A1583" s="10"/>
    </row>
    <row r="1584">
      <c r="A1584" s="10"/>
    </row>
    <row r="1585">
      <c r="A1585" s="10"/>
    </row>
    <row r="1586">
      <c r="A1586" s="10"/>
    </row>
    <row r="1587">
      <c r="A1587" s="10"/>
    </row>
    <row r="1588">
      <c r="A1588" s="10"/>
    </row>
    <row r="1589">
      <c r="A1589" s="10"/>
    </row>
    <row r="1590">
      <c r="A1590" s="10"/>
    </row>
    <row r="1591">
      <c r="A1591" s="10"/>
    </row>
    <row r="1592">
      <c r="A1592" s="10"/>
    </row>
    <row r="1593">
      <c r="A1593" s="10"/>
    </row>
    <row r="1594">
      <c r="A1594" s="10"/>
    </row>
    <row r="1595">
      <c r="A1595" s="10"/>
    </row>
    <row r="1596">
      <c r="A1596" s="10"/>
    </row>
    <row r="1597">
      <c r="A1597" s="10"/>
    </row>
    <row r="1598">
      <c r="A1598" s="10"/>
    </row>
    <row r="1599">
      <c r="A1599" s="10"/>
    </row>
    <row r="1600">
      <c r="A1600" s="10"/>
    </row>
    <row r="1601">
      <c r="A1601" s="10"/>
    </row>
    <row r="1602">
      <c r="A1602" s="10"/>
    </row>
    <row r="1603">
      <c r="A1603" s="10"/>
    </row>
    <row r="1604">
      <c r="A1604" s="10"/>
    </row>
    <row r="1605">
      <c r="A1605" s="10"/>
    </row>
    <row r="1606">
      <c r="A1606" s="10"/>
    </row>
    <row r="1607">
      <c r="A1607" s="10"/>
    </row>
    <row r="1608">
      <c r="A1608" s="10"/>
    </row>
    <row r="1609">
      <c r="A1609" s="10"/>
    </row>
    <row r="1610">
      <c r="A1610" s="10"/>
    </row>
    <row r="1611">
      <c r="A1611" s="10"/>
    </row>
    <row r="1612">
      <c r="A1612" s="10"/>
    </row>
    <row r="1613">
      <c r="A1613" s="10"/>
    </row>
    <row r="1614">
      <c r="A1614" s="10"/>
    </row>
    <row r="1615">
      <c r="A1615" s="10"/>
    </row>
    <row r="1616">
      <c r="A1616" s="10"/>
    </row>
    <row r="1617">
      <c r="A1617" s="10"/>
    </row>
    <row r="1618">
      <c r="A1618" s="10"/>
    </row>
    <row r="1619">
      <c r="A1619" s="10"/>
    </row>
    <row r="1620">
      <c r="A1620" s="10"/>
    </row>
    <row r="1621">
      <c r="A1621" s="10"/>
    </row>
    <row r="1622">
      <c r="A1622" s="10"/>
    </row>
    <row r="1623">
      <c r="A1623" s="10"/>
    </row>
    <row r="1624">
      <c r="A1624" s="10"/>
    </row>
    <row r="1625">
      <c r="A1625" s="10"/>
    </row>
    <row r="1626">
      <c r="A1626" s="10"/>
    </row>
    <row r="1627">
      <c r="A1627" s="10"/>
    </row>
    <row r="1628">
      <c r="A1628" s="10"/>
    </row>
    <row r="1629">
      <c r="A1629" s="10"/>
    </row>
    <row r="1630">
      <c r="A1630" s="10"/>
    </row>
    <row r="1631">
      <c r="A1631" s="10"/>
    </row>
    <row r="1632">
      <c r="A1632" s="10"/>
    </row>
    <row r="1633">
      <c r="A1633" s="10"/>
    </row>
    <row r="1634">
      <c r="A1634" s="10"/>
    </row>
    <row r="1635">
      <c r="A1635" s="10"/>
    </row>
    <row r="1636">
      <c r="A1636" s="10"/>
    </row>
    <row r="1637">
      <c r="A1637" s="10"/>
    </row>
    <row r="1638">
      <c r="A1638" s="10"/>
    </row>
    <row r="1639">
      <c r="A1639" s="10"/>
    </row>
    <row r="1640">
      <c r="A1640" s="10"/>
    </row>
    <row r="1641">
      <c r="A1641" s="10"/>
    </row>
    <row r="1642">
      <c r="A1642" s="10"/>
    </row>
    <row r="1643">
      <c r="A1643" s="10"/>
    </row>
    <row r="1644">
      <c r="A1644" s="10"/>
    </row>
    <row r="1645">
      <c r="A1645" s="10"/>
    </row>
    <row r="1646">
      <c r="A1646" s="10"/>
    </row>
    <row r="1647">
      <c r="A1647" s="10"/>
    </row>
    <row r="1648">
      <c r="A1648" s="10"/>
    </row>
    <row r="1649">
      <c r="A1649" s="10"/>
    </row>
    <row r="1650">
      <c r="A1650" s="10"/>
    </row>
    <row r="1651">
      <c r="A1651" s="10"/>
    </row>
    <row r="1652">
      <c r="A1652" s="10"/>
    </row>
    <row r="1653">
      <c r="A1653" s="10"/>
    </row>
    <row r="1654">
      <c r="A1654" s="10"/>
    </row>
    <row r="1655">
      <c r="A1655" s="10"/>
    </row>
    <row r="1656">
      <c r="A1656" s="10"/>
    </row>
    <row r="1657">
      <c r="A1657" s="10"/>
    </row>
    <row r="1658">
      <c r="A1658" s="10"/>
    </row>
    <row r="1659">
      <c r="A1659" s="10"/>
    </row>
    <row r="1660">
      <c r="A1660" s="10"/>
    </row>
    <row r="1661">
      <c r="A1661" s="10"/>
    </row>
    <row r="1662">
      <c r="A1662" s="10"/>
    </row>
    <row r="1663">
      <c r="A1663" s="10"/>
    </row>
    <row r="1664">
      <c r="A1664" s="10"/>
    </row>
    <row r="1665">
      <c r="A1665" s="10"/>
    </row>
    <row r="1666">
      <c r="A1666" s="10"/>
    </row>
    <row r="1667">
      <c r="A1667" s="10"/>
    </row>
    <row r="1668">
      <c r="A1668" s="10"/>
    </row>
    <row r="1669">
      <c r="A1669" s="10"/>
    </row>
    <row r="1670">
      <c r="A1670" s="10"/>
    </row>
    <row r="1671">
      <c r="A1671" s="10"/>
    </row>
    <row r="1672">
      <c r="A1672" s="10"/>
    </row>
    <row r="1673">
      <c r="A1673" s="10"/>
    </row>
    <row r="1674">
      <c r="A1674" s="10"/>
    </row>
    <row r="1675">
      <c r="A1675" s="10"/>
    </row>
    <row r="1676">
      <c r="A1676" s="10"/>
    </row>
    <row r="1677">
      <c r="A1677" s="10"/>
    </row>
    <row r="1678">
      <c r="A1678" s="10"/>
    </row>
    <row r="1679">
      <c r="A1679" s="10"/>
    </row>
    <row r="1680">
      <c r="A1680" s="10"/>
    </row>
    <row r="1681">
      <c r="A1681" s="10"/>
    </row>
    <row r="1682">
      <c r="A1682" s="10"/>
    </row>
    <row r="1683">
      <c r="A1683" s="10"/>
    </row>
    <row r="1684">
      <c r="A1684" s="10"/>
    </row>
    <row r="1685">
      <c r="A1685" s="10"/>
    </row>
    <row r="1686">
      <c r="A1686" s="10"/>
    </row>
    <row r="1687">
      <c r="A1687" s="10"/>
    </row>
    <row r="1688">
      <c r="A1688" s="10"/>
    </row>
    <row r="1689">
      <c r="A1689" s="10"/>
    </row>
    <row r="1690">
      <c r="A1690" s="10"/>
    </row>
    <row r="1691">
      <c r="A1691" s="10"/>
    </row>
    <row r="1692">
      <c r="A1692" s="10"/>
    </row>
    <row r="1693">
      <c r="A1693" s="10"/>
    </row>
    <row r="1694">
      <c r="A1694" s="10"/>
    </row>
    <row r="1695">
      <c r="A1695" s="10"/>
    </row>
    <row r="1696">
      <c r="A1696" s="10"/>
    </row>
    <row r="1697">
      <c r="A1697" s="10"/>
    </row>
    <row r="1698">
      <c r="A1698" s="10"/>
    </row>
    <row r="1699">
      <c r="A1699" s="10"/>
    </row>
    <row r="1700">
      <c r="A1700" s="10"/>
    </row>
    <row r="1701">
      <c r="A1701" s="10"/>
    </row>
    <row r="1702">
      <c r="A1702" s="10"/>
    </row>
    <row r="1703">
      <c r="A1703" s="10"/>
    </row>
    <row r="1704">
      <c r="A1704" s="10"/>
    </row>
    <row r="1705">
      <c r="A1705" s="10"/>
    </row>
    <row r="1706">
      <c r="A1706" s="10"/>
    </row>
    <row r="1707">
      <c r="A1707" s="10"/>
    </row>
    <row r="1708">
      <c r="A1708" s="10"/>
    </row>
    <row r="1709">
      <c r="A1709" s="10"/>
    </row>
    <row r="1710">
      <c r="A1710" s="10"/>
    </row>
    <row r="1711">
      <c r="A1711" s="10"/>
    </row>
    <row r="1712">
      <c r="A1712" s="10"/>
    </row>
    <row r="1713">
      <c r="A1713" s="10"/>
    </row>
    <row r="1714">
      <c r="A1714" s="10"/>
    </row>
    <row r="1715">
      <c r="A1715" s="10"/>
    </row>
    <row r="1716">
      <c r="A1716" s="10"/>
    </row>
    <row r="1717">
      <c r="A1717" s="10"/>
    </row>
    <row r="1718">
      <c r="A1718" s="10"/>
    </row>
    <row r="1719">
      <c r="A1719" s="10"/>
    </row>
    <row r="1720">
      <c r="A1720" s="10"/>
    </row>
    <row r="1721">
      <c r="A1721" s="10"/>
    </row>
    <row r="1722">
      <c r="A1722" s="10"/>
    </row>
    <row r="1723">
      <c r="A1723" s="10"/>
    </row>
    <row r="1724">
      <c r="A1724" s="10"/>
    </row>
    <row r="1725">
      <c r="A1725" s="10"/>
    </row>
    <row r="1726">
      <c r="A1726" s="10"/>
    </row>
    <row r="1727">
      <c r="A1727" s="10"/>
    </row>
    <row r="1728">
      <c r="A1728" s="10"/>
    </row>
    <row r="1729">
      <c r="A1729" s="10"/>
    </row>
    <row r="1730">
      <c r="A1730" s="10"/>
    </row>
    <row r="1731">
      <c r="A1731" s="10"/>
    </row>
    <row r="1732">
      <c r="A1732" s="10"/>
    </row>
    <row r="1733">
      <c r="A1733" s="10"/>
    </row>
    <row r="1734">
      <c r="A1734" s="10"/>
    </row>
    <row r="1735">
      <c r="A1735" s="10"/>
    </row>
    <row r="1736">
      <c r="A1736" s="10"/>
    </row>
    <row r="1737">
      <c r="A1737" s="10"/>
    </row>
    <row r="1738">
      <c r="A1738" s="10"/>
    </row>
    <row r="1739">
      <c r="A1739" s="10"/>
    </row>
    <row r="1740">
      <c r="A1740" s="10"/>
    </row>
    <row r="1741">
      <c r="A1741" s="10"/>
    </row>
    <row r="1742">
      <c r="A1742" s="10"/>
    </row>
    <row r="1743">
      <c r="A1743" s="10"/>
    </row>
    <row r="1744">
      <c r="A1744" s="10"/>
    </row>
    <row r="1745">
      <c r="A1745" s="10"/>
    </row>
    <row r="1746">
      <c r="A1746" s="10"/>
    </row>
    <row r="1747">
      <c r="A1747" s="10"/>
    </row>
    <row r="1748">
      <c r="A1748" s="10"/>
    </row>
    <row r="1749">
      <c r="A1749" s="10"/>
    </row>
    <row r="1750">
      <c r="A1750" s="10"/>
    </row>
    <row r="1751">
      <c r="A1751" s="10"/>
    </row>
    <row r="1752">
      <c r="A1752" s="10"/>
    </row>
    <row r="1753">
      <c r="A1753" s="10"/>
    </row>
    <row r="1754">
      <c r="A1754" s="10"/>
    </row>
    <row r="1755">
      <c r="A1755" s="10"/>
    </row>
    <row r="1756">
      <c r="A1756" s="10"/>
    </row>
    <row r="1757">
      <c r="A1757" s="10"/>
    </row>
    <row r="1758">
      <c r="A1758" s="10"/>
    </row>
    <row r="1759">
      <c r="A1759" s="10"/>
    </row>
    <row r="1760">
      <c r="A1760" s="10"/>
    </row>
    <row r="1761">
      <c r="A1761" s="10"/>
    </row>
    <row r="1762">
      <c r="A1762" s="10"/>
    </row>
    <row r="1763">
      <c r="A1763" s="10"/>
    </row>
    <row r="1764">
      <c r="A1764" s="10"/>
    </row>
    <row r="1765">
      <c r="A1765" s="10"/>
    </row>
    <row r="1766">
      <c r="A1766" s="10"/>
    </row>
    <row r="1767">
      <c r="A1767" s="10"/>
    </row>
    <row r="1768">
      <c r="A1768" s="10"/>
    </row>
    <row r="1769">
      <c r="A1769" s="10"/>
    </row>
    <row r="1770">
      <c r="A1770" s="10"/>
    </row>
    <row r="1771">
      <c r="A1771" s="10"/>
    </row>
    <row r="1772">
      <c r="A1772" s="10"/>
    </row>
    <row r="1773">
      <c r="A1773" s="10"/>
    </row>
    <row r="1774">
      <c r="A1774" s="10"/>
    </row>
    <row r="1775">
      <c r="A1775" s="10"/>
    </row>
    <row r="1776">
      <c r="A1776" s="10"/>
    </row>
    <row r="1777">
      <c r="A1777" s="10"/>
    </row>
    <row r="1778">
      <c r="A1778" s="10"/>
    </row>
    <row r="1779">
      <c r="A1779" s="10"/>
    </row>
    <row r="1780">
      <c r="A1780" s="10"/>
    </row>
    <row r="1781">
      <c r="A1781" s="10"/>
    </row>
    <row r="1782">
      <c r="A1782" s="10"/>
    </row>
    <row r="1783">
      <c r="A1783" s="10"/>
    </row>
    <row r="1784">
      <c r="A1784" s="10"/>
    </row>
    <row r="1785">
      <c r="A1785" s="10"/>
    </row>
    <row r="1786">
      <c r="A1786" s="10"/>
    </row>
    <row r="1787">
      <c r="A1787" s="10"/>
    </row>
    <row r="1788">
      <c r="A1788" s="10"/>
    </row>
    <row r="1789">
      <c r="A1789" s="10"/>
    </row>
    <row r="1790">
      <c r="A1790" s="10"/>
    </row>
    <row r="1791">
      <c r="A1791" s="10"/>
    </row>
    <row r="1792">
      <c r="A1792" s="10"/>
    </row>
    <row r="1793">
      <c r="A1793" s="10"/>
    </row>
    <row r="1794">
      <c r="A1794" s="10"/>
    </row>
    <row r="1795">
      <c r="A1795" s="10"/>
    </row>
    <row r="1796">
      <c r="A1796" s="10"/>
    </row>
    <row r="1797">
      <c r="A1797" s="10"/>
    </row>
    <row r="1798">
      <c r="A1798" s="10"/>
    </row>
    <row r="1799">
      <c r="A1799" s="10"/>
    </row>
    <row r="1800">
      <c r="A1800" s="10"/>
    </row>
    <row r="1801">
      <c r="A1801" s="10"/>
    </row>
    <row r="1802">
      <c r="A1802" s="10"/>
    </row>
    <row r="1803">
      <c r="A1803" s="10"/>
    </row>
    <row r="1804">
      <c r="A1804" s="10"/>
    </row>
    <row r="1805">
      <c r="A1805" s="10"/>
    </row>
    <row r="1806">
      <c r="A1806" s="10"/>
    </row>
    <row r="1807">
      <c r="A1807" s="10"/>
    </row>
    <row r="1808">
      <c r="A1808" s="10"/>
    </row>
    <row r="1809">
      <c r="A1809" s="10"/>
    </row>
    <row r="1810">
      <c r="A1810" s="10"/>
    </row>
    <row r="1811">
      <c r="A1811" s="10"/>
    </row>
    <row r="1812">
      <c r="A1812" s="10"/>
    </row>
    <row r="1813">
      <c r="A1813" s="10"/>
    </row>
    <row r="1814">
      <c r="A1814" s="10"/>
    </row>
    <row r="1815">
      <c r="A1815" s="10"/>
    </row>
    <row r="1816">
      <c r="A1816" s="10"/>
    </row>
    <row r="1817">
      <c r="A1817" s="10"/>
    </row>
    <row r="1818">
      <c r="A1818" s="10"/>
    </row>
    <row r="1819">
      <c r="A1819" s="10"/>
    </row>
    <row r="1820">
      <c r="A1820" s="10"/>
    </row>
    <row r="1821">
      <c r="A1821" s="10"/>
    </row>
    <row r="1822">
      <c r="A1822" s="10"/>
    </row>
    <row r="1823">
      <c r="A1823" s="10"/>
    </row>
    <row r="1824">
      <c r="A1824" s="10"/>
    </row>
    <row r="1825">
      <c r="A1825" s="10"/>
    </row>
    <row r="1826">
      <c r="A1826" s="10"/>
    </row>
    <row r="1827">
      <c r="A1827" s="10"/>
    </row>
    <row r="1828">
      <c r="A1828" s="10"/>
    </row>
    <row r="1829">
      <c r="A1829" s="10"/>
    </row>
    <row r="1830">
      <c r="A1830" s="10"/>
    </row>
    <row r="1831">
      <c r="A1831" s="10"/>
    </row>
    <row r="1832">
      <c r="A1832" s="10"/>
    </row>
    <row r="1833">
      <c r="A1833" s="10"/>
    </row>
    <row r="1834">
      <c r="A1834" s="10"/>
    </row>
    <row r="1835">
      <c r="A1835" s="10"/>
    </row>
    <row r="1836">
      <c r="A1836" s="10"/>
    </row>
    <row r="1837">
      <c r="A1837" s="10"/>
    </row>
    <row r="1838">
      <c r="A1838" s="10"/>
    </row>
    <row r="1839">
      <c r="A1839" s="10"/>
    </row>
    <row r="1840">
      <c r="A1840" s="10"/>
    </row>
    <row r="1841">
      <c r="A1841" s="10"/>
    </row>
    <row r="1842">
      <c r="A1842" s="10"/>
    </row>
    <row r="1843">
      <c r="A1843" s="10"/>
    </row>
    <row r="1844">
      <c r="A1844" s="10"/>
    </row>
    <row r="1845">
      <c r="A1845" s="10"/>
    </row>
    <row r="1846">
      <c r="A1846" s="10"/>
    </row>
    <row r="1847">
      <c r="A1847" s="10"/>
    </row>
    <row r="1848">
      <c r="A1848" s="10"/>
    </row>
    <row r="1849">
      <c r="A1849" s="10"/>
    </row>
    <row r="1850">
      <c r="A1850" s="10"/>
    </row>
    <row r="1851">
      <c r="A1851" s="10"/>
    </row>
    <row r="1852">
      <c r="A1852" s="10"/>
    </row>
    <row r="1853">
      <c r="A1853" s="10"/>
    </row>
    <row r="1854">
      <c r="A1854" s="10"/>
    </row>
    <row r="1855">
      <c r="A1855" s="10"/>
    </row>
    <row r="1856">
      <c r="A1856" s="10"/>
    </row>
    <row r="1857">
      <c r="A1857" s="10"/>
    </row>
    <row r="1858">
      <c r="A1858" s="10"/>
    </row>
    <row r="1859">
      <c r="A1859" s="10"/>
    </row>
    <row r="1860">
      <c r="A1860" s="10"/>
    </row>
    <row r="1861">
      <c r="A1861" s="10"/>
    </row>
    <row r="1862">
      <c r="A1862" s="10"/>
    </row>
    <row r="1863">
      <c r="A1863" s="10"/>
    </row>
    <row r="1864">
      <c r="A1864" s="10"/>
    </row>
    <row r="1865">
      <c r="A1865" s="10"/>
    </row>
    <row r="1866">
      <c r="A1866" s="10"/>
    </row>
    <row r="1867">
      <c r="A1867" s="10"/>
    </row>
    <row r="1868">
      <c r="A1868" s="10"/>
    </row>
    <row r="1869">
      <c r="A1869" s="10"/>
    </row>
    <row r="1870">
      <c r="A1870" s="10"/>
    </row>
    <row r="1871">
      <c r="A1871" s="10"/>
    </row>
    <row r="1872">
      <c r="A1872" s="10"/>
    </row>
    <row r="1873">
      <c r="A1873" s="10"/>
    </row>
    <row r="1874">
      <c r="A1874" s="10"/>
    </row>
    <row r="1875">
      <c r="A1875" s="10"/>
    </row>
    <row r="1876">
      <c r="A1876" s="10"/>
    </row>
    <row r="1877">
      <c r="A1877" s="10"/>
    </row>
    <row r="1878">
      <c r="A1878" s="10"/>
    </row>
    <row r="1879">
      <c r="A1879" s="10"/>
    </row>
    <row r="1880">
      <c r="A1880" s="10"/>
    </row>
    <row r="1881">
      <c r="A1881" s="10"/>
    </row>
    <row r="1882">
      <c r="A1882" s="10"/>
    </row>
    <row r="1883">
      <c r="A1883" s="10"/>
    </row>
    <row r="1884">
      <c r="A1884" s="10"/>
    </row>
    <row r="1885">
      <c r="A1885" s="10"/>
    </row>
    <row r="1886">
      <c r="A1886" s="10"/>
    </row>
    <row r="1887">
      <c r="A1887" s="10"/>
    </row>
    <row r="1888">
      <c r="A1888" s="10"/>
    </row>
    <row r="1889">
      <c r="A1889" s="10"/>
    </row>
    <row r="1890">
      <c r="A1890" s="10"/>
    </row>
    <row r="1891">
      <c r="A1891" s="10"/>
    </row>
    <row r="1892">
      <c r="A1892" s="10"/>
    </row>
    <row r="1893">
      <c r="A1893" s="10"/>
    </row>
    <row r="1894">
      <c r="A1894" s="10"/>
    </row>
    <row r="1895">
      <c r="A1895" s="10"/>
    </row>
    <row r="1896">
      <c r="A1896" s="10"/>
    </row>
    <row r="1897">
      <c r="A1897" s="10"/>
    </row>
    <row r="1898">
      <c r="A1898" s="10"/>
    </row>
    <row r="1899">
      <c r="A1899" s="10"/>
    </row>
    <row r="1900">
      <c r="A1900" s="10"/>
    </row>
    <row r="1901">
      <c r="A1901" s="10"/>
    </row>
    <row r="1902">
      <c r="A1902" s="10"/>
    </row>
    <row r="1903">
      <c r="A1903" s="10"/>
    </row>
    <row r="1904">
      <c r="A1904" s="10"/>
    </row>
    <row r="1905">
      <c r="A1905" s="10"/>
    </row>
    <row r="1906">
      <c r="A1906" s="10"/>
    </row>
    <row r="1907">
      <c r="A1907" s="10"/>
    </row>
    <row r="1908">
      <c r="A1908" s="10"/>
    </row>
    <row r="1909">
      <c r="A1909" s="10"/>
    </row>
    <row r="1910">
      <c r="A1910" s="10"/>
    </row>
    <row r="1911">
      <c r="A1911" s="10"/>
    </row>
    <row r="1912">
      <c r="A1912" s="10"/>
    </row>
    <row r="1913">
      <c r="A1913" s="10"/>
    </row>
    <row r="1914">
      <c r="A1914" s="10"/>
    </row>
    <row r="1915">
      <c r="A1915" s="10"/>
    </row>
    <row r="1916">
      <c r="A1916" s="10"/>
    </row>
    <row r="1917">
      <c r="A1917" s="10"/>
    </row>
    <row r="1918">
      <c r="A1918" s="10"/>
    </row>
    <row r="1919">
      <c r="A1919" s="10"/>
    </row>
    <row r="1920">
      <c r="A1920" s="10"/>
    </row>
    <row r="1921">
      <c r="A1921" s="10"/>
    </row>
    <row r="1922">
      <c r="A1922" s="10"/>
    </row>
    <row r="1923">
      <c r="A1923" s="10"/>
    </row>
    <row r="1924">
      <c r="A1924" s="10"/>
    </row>
    <row r="1925">
      <c r="A1925" s="10"/>
    </row>
    <row r="1926">
      <c r="A1926" s="10"/>
    </row>
    <row r="1927">
      <c r="A1927" s="10"/>
    </row>
    <row r="1928">
      <c r="A1928" s="10"/>
    </row>
    <row r="1929">
      <c r="A1929" s="10"/>
    </row>
    <row r="1930">
      <c r="A1930" s="10"/>
    </row>
    <row r="1931">
      <c r="A1931" s="10"/>
    </row>
    <row r="1932">
      <c r="A1932" s="10"/>
    </row>
    <row r="1933">
      <c r="A1933" s="10"/>
    </row>
    <row r="1934">
      <c r="A1934" s="10"/>
    </row>
    <row r="1935">
      <c r="A1935" s="10"/>
    </row>
    <row r="1936">
      <c r="A1936" s="10"/>
    </row>
    <row r="1937">
      <c r="A1937" s="10"/>
    </row>
    <row r="1938">
      <c r="A1938" s="10"/>
    </row>
    <row r="1939">
      <c r="A1939" s="10"/>
    </row>
    <row r="1940">
      <c r="A1940" s="10"/>
    </row>
    <row r="1941">
      <c r="A1941" s="10"/>
    </row>
    <row r="1942">
      <c r="A1942" s="10"/>
    </row>
    <row r="1943">
      <c r="A1943" s="10"/>
    </row>
    <row r="1944">
      <c r="A1944" s="10"/>
    </row>
    <row r="1945">
      <c r="A1945" s="10"/>
    </row>
    <row r="1946">
      <c r="A1946" s="10"/>
    </row>
    <row r="1947">
      <c r="A1947" s="10"/>
    </row>
    <row r="1948">
      <c r="A1948" s="10"/>
    </row>
    <row r="1949">
      <c r="A1949" s="10"/>
    </row>
    <row r="1950">
      <c r="A1950" s="10"/>
    </row>
    <row r="1951">
      <c r="A1951" s="10"/>
    </row>
    <row r="1952">
      <c r="A1952" s="10"/>
    </row>
    <row r="1953">
      <c r="A1953" s="10"/>
    </row>
    <row r="1954">
      <c r="A1954" s="10"/>
    </row>
    <row r="1955">
      <c r="A1955" s="10"/>
    </row>
    <row r="1956">
      <c r="A1956" s="10"/>
    </row>
    <row r="1957">
      <c r="A1957" s="10"/>
    </row>
    <row r="1958">
      <c r="A1958" s="10"/>
    </row>
    <row r="1959">
      <c r="A1959" s="10"/>
    </row>
    <row r="1960">
      <c r="A1960" s="10"/>
    </row>
    <row r="1961">
      <c r="A1961" s="10"/>
    </row>
    <row r="1962">
      <c r="A1962" s="10"/>
    </row>
    <row r="1963">
      <c r="A1963" s="10"/>
    </row>
    <row r="1964">
      <c r="A1964" s="10"/>
    </row>
    <row r="1965">
      <c r="A1965" s="10"/>
    </row>
    <row r="1966">
      <c r="A1966" s="10"/>
    </row>
    <row r="1967">
      <c r="A1967" s="10"/>
    </row>
    <row r="1968">
      <c r="A1968" s="10"/>
    </row>
    <row r="1969">
      <c r="A1969" s="10"/>
    </row>
    <row r="1970">
      <c r="A1970" s="10"/>
    </row>
    <row r="1971">
      <c r="A1971" s="10"/>
    </row>
    <row r="1972">
      <c r="A1972" s="10"/>
    </row>
    <row r="1973">
      <c r="A1973" s="10"/>
    </row>
    <row r="1974">
      <c r="A1974" s="10"/>
    </row>
    <row r="1975">
      <c r="A1975" s="10"/>
    </row>
    <row r="1976">
      <c r="A1976" s="10"/>
    </row>
    <row r="1977">
      <c r="A1977" s="10"/>
    </row>
    <row r="1978">
      <c r="A1978" s="10"/>
    </row>
    <row r="1979">
      <c r="A1979" s="10"/>
    </row>
    <row r="1980">
      <c r="A1980" s="10"/>
    </row>
    <row r="1981">
      <c r="A1981" s="10"/>
    </row>
    <row r="1982">
      <c r="A1982" s="10"/>
    </row>
    <row r="1983">
      <c r="A1983" s="10"/>
    </row>
    <row r="1984">
      <c r="A1984" s="10"/>
    </row>
    <row r="1985">
      <c r="A1985" s="10"/>
    </row>
    <row r="1986">
      <c r="A1986" s="10"/>
    </row>
    <row r="1987">
      <c r="A1987" s="10"/>
    </row>
    <row r="1988">
      <c r="A1988" s="10"/>
    </row>
    <row r="1989">
      <c r="A1989" s="10"/>
    </row>
    <row r="1990">
      <c r="A1990" s="10"/>
    </row>
    <row r="1991">
      <c r="A1991" s="10"/>
    </row>
    <row r="1992">
      <c r="A1992" s="10"/>
    </row>
    <row r="1993">
      <c r="A1993" s="10"/>
    </row>
    <row r="1994">
      <c r="A1994" s="10"/>
    </row>
    <row r="1995">
      <c r="A1995" s="10"/>
    </row>
    <row r="1996">
      <c r="A1996" s="10"/>
    </row>
    <row r="1997">
      <c r="A1997" s="10"/>
    </row>
    <row r="1998">
      <c r="A1998" s="10"/>
    </row>
    <row r="1999">
      <c r="A1999" s="10"/>
    </row>
    <row r="2000">
      <c r="A2000" s="10"/>
    </row>
  </sheetData>
  <customSheetViews>
    <customSheetView guid="{F952F8F9-F89A-42F2-8C6F-0FA0AD73EFA1}" filter="1" showAutoFilter="1">
      <autoFilter ref="$A$1:$H$1001"/>
    </customSheetView>
    <customSheetView guid="{F952F8F9-F89A-42F2-8C6F-0FA0AD73EFA1}" filter="1" showAutoFilter="1">
      <autoFilter ref="$A$1:$H$1001"/>
    </customSheetView>
  </customSheetView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c r="D2" s="13"/>
    </row>
    <row r="3">
      <c r="D3" s="13">
        <f t="shared" ref="D3:D13" si="1">(C3-C2)/C2</f>
        <v>-0.1948859222</v>
      </c>
    </row>
    <row r="4">
      <c r="D4" s="13">
        <f t="shared" si="1"/>
        <v>0.1943824731</v>
      </c>
    </row>
    <row r="5">
      <c r="D5" s="13">
        <f t="shared" si="1"/>
        <v>-0.008457946377</v>
      </c>
    </row>
    <row r="6">
      <c r="D6" s="13">
        <f t="shared" si="1"/>
        <v>0.0790991544</v>
      </c>
    </row>
    <row r="7">
      <c r="D7" s="13">
        <f t="shared" si="1"/>
        <v>-0.1382364191</v>
      </c>
    </row>
    <row r="8">
      <c r="D8" s="13">
        <f t="shared" si="1"/>
        <v>-0.08048436291</v>
      </c>
    </row>
    <row r="9">
      <c r="D9" s="13">
        <f t="shared" si="1"/>
        <v>0.2844695282</v>
      </c>
    </row>
    <row r="10">
      <c r="D10" s="13">
        <f t="shared" si="1"/>
        <v>-0.02850260166</v>
      </c>
    </row>
    <row r="11">
      <c r="D11" s="13">
        <f t="shared" si="1"/>
        <v>-0.1698934756</v>
      </c>
    </row>
    <row r="12">
      <c r="D12" s="13">
        <f t="shared" si="1"/>
        <v>-0.1639444159</v>
      </c>
    </row>
    <row r="13">
      <c r="D13" s="13">
        <f t="shared" si="1"/>
        <v>0.5710284114</v>
      </c>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9" max="9" width="21.75"/>
    <col customWidth="1" min="10" max="10" width="28.88"/>
    <col customWidth="1" min="11" max="11" width="22.13"/>
  </cols>
  <sheetData>
    <row r="1">
      <c r="A1" s="14" t="s">
        <v>33</v>
      </c>
      <c r="B1" s="15"/>
      <c r="C1" s="15"/>
      <c r="D1" s="15"/>
      <c r="E1" s="15"/>
      <c r="F1" s="15"/>
      <c r="G1" s="15"/>
      <c r="H1" s="15"/>
      <c r="I1" s="15"/>
      <c r="J1" s="15"/>
      <c r="K1" s="16"/>
      <c r="M1" s="17"/>
    </row>
    <row r="2">
      <c r="A2" s="18" t="s">
        <v>34</v>
      </c>
      <c r="B2" s="19"/>
      <c r="C2" s="19"/>
      <c r="D2" s="19"/>
      <c r="E2" s="19"/>
      <c r="F2" s="19"/>
      <c r="G2" s="19"/>
      <c r="H2" s="19"/>
      <c r="I2" s="19"/>
      <c r="J2" s="19"/>
      <c r="K2" s="20"/>
    </row>
    <row r="3">
      <c r="A3" s="21" t="s">
        <v>35</v>
      </c>
      <c r="B3" s="22"/>
      <c r="C3" s="21" t="s">
        <v>36</v>
      </c>
      <c r="D3" s="22"/>
      <c r="E3" s="21" t="s">
        <v>37</v>
      </c>
      <c r="F3" s="22"/>
      <c r="G3" s="21" t="s">
        <v>38</v>
      </c>
      <c r="H3" s="22"/>
      <c r="I3" s="21" t="s">
        <v>39</v>
      </c>
      <c r="J3" s="21" t="s">
        <v>40</v>
      </c>
      <c r="K3" s="23" t="s">
        <v>41</v>
      </c>
      <c r="L3" s="24"/>
    </row>
    <row r="4">
      <c r="A4" s="25">
        <f>SUM(Sales_Data!E2:E1001)</f>
        <v>1107491</v>
      </c>
      <c r="B4" s="20"/>
      <c r="C4" s="26">
        <f>SUM(Sales_Data!F2:F1001)</f>
        <v>218712.14</v>
      </c>
      <c r="D4" s="20"/>
      <c r="E4" s="27">
        <f>COUNTA(Sales_Data!A2:A1001)</f>
        <v>1000</v>
      </c>
      <c r="F4" s="20"/>
      <c r="G4" s="28">
        <f>SUM(Sales_Data!G2:G1001)</f>
        <v>5560</v>
      </c>
      <c r="H4" s="20"/>
      <c r="I4" s="29">
        <f>C4/A4</f>
        <v>0.1974843498</v>
      </c>
      <c r="J4" s="30">
        <f>A4/E4</f>
        <v>1107.491</v>
      </c>
      <c r="K4" s="31">
        <f>('Pivot Table 4'!C13-'Pivot Table 4'!C12)/'Pivot Table 4'!C12</f>
        <v>0.5710284114</v>
      </c>
      <c r="L4" s="17"/>
    </row>
    <row r="5">
      <c r="A5" s="32"/>
    </row>
    <row r="6">
      <c r="A6" s="32"/>
    </row>
    <row r="7">
      <c r="A7" s="32"/>
    </row>
    <row r="8">
      <c r="A8" s="32"/>
    </row>
    <row r="9">
      <c r="A9" s="32"/>
    </row>
    <row r="12">
      <c r="J12" s="33"/>
    </row>
    <row r="13">
      <c r="L13" s="17"/>
    </row>
    <row r="14">
      <c r="L14" s="34"/>
    </row>
    <row r="20">
      <c r="J20" s="34"/>
      <c r="K20" s="17"/>
    </row>
    <row r="21">
      <c r="J21" s="34"/>
      <c r="K21" s="17"/>
    </row>
    <row r="29">
      <c r="I29" s="35" t="s">
        <v>42</v>
      </c>
    </row>
    <row r="30">
      <c r="I30" s="35" t="s">
        <v>43</v>
      </c>
    </row>
    <row r="34">
      <c r="J34" s="34"/>
      <c r="K34" s="17"/>
    </row>
    <row r="35">
      <c r="A35" s="36"/>
      <c r="B35" s="17"/>
      <c r="C35" s="17"/>
      <c r="D35" s="17"/>
      <c r="E35" s="17"/>
      <c r="J35" s="34"/>
      <c r="K35" s="17"/>
    </row>
    <row r="36">
      <c r="A36" s="34"/>
      <c r="B36" s="17"/>
      <c r="C36" s="17"/>
      <c r="D36" s="17"/>
      <c r="E36" s="17"/>
    </row>
  </sheetData>
  <mergeCells count="12">
    <mergeCell ref="E4:F4"/>
    <mergeCell ref="G4:H4"/>
    <mergeCell ref="I30:K30"/>
    <mergeCell ref="I29:K29"/>
    <mergeCell ref="A3:B3"/>
    <mergeCell ref="C3:D3"/>
    <mergeCell ref="E3:F3"/>
    <mergeCell ref="G3:H3"/>
    <mergeCell ref="C4:D4"/>
    <mergeCell ref="A4:B4"/>
    <mergeCell ref="A1:K1"/>
    <mergeCell ref="A2:K2"/>
  </mergeCells>
  <conditionalFormatting sqref="K4">
    <cfRule type="cellIs" dxfId="1" priority="1" operator="greaterThan">
      <formula>0</formula>
    </cfRule>
  </conditionalFormatting>
  <conditionalFormatting sqref="K4">
    <cfRule type="cellIs" dxfId="2" priority="2" operator="lessThan">
      <formula>0</formula>
    </cfRule>
  </conditionalFormatting>
  <printOptions gridLines="1" horizontalCentered="1"/>
  <pageMargins bottom="0.75" footer="0.0" header="0.0" left="0.7" right="0.7" top="0.75"/>
  <pageSetup fitToHeight="0" cellComments="atEnd" orientation="landscape" pageOrder="overThenDown"/>
  <drawing r:id="rId1"/>
  <extLst>
    <ext uri="{3A4CF648-6AED-40f4-86FF-DC5316D8AED3}">
      <x14:slicerList>
        <x14:slicer r:id="rId2"/>
      </x14:slicerList>
    </ext>
  </extLst>
</worksheet>
</file>